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esktop\Отчеты СО\Отчет СС за 2025 г\12 деабрь 2025\"/>
    </mc:Choice>
  </mc:AlternateContent>
  <xr:revisionPtr revIDLastSave="0" documentId="13_ncr:1_{B02940E3-F2C8-49E3-9ED1-FCFC7DF9506B}" xr6:coauthVersionLast="37" xr6:coauthVersionMax="37" xr10:uidLastSave="{00000000-0000-0000-0000-000000000000}"/>
  <bookViews>
    <workbookView xWindow="0" yWindow="0" windowWidth="28800" windowHeight="11625" activeTab="1" xr2:uid="{00000000-000D-0000-FFFF-FFFF00000000}"/>
  </bookViews>
  <sheets>
    <sheet name="Тит.лист" sheetId="3" r:id="rId1"/>
    <sheet name="Отчет 1-Е Р.1" sheetId="2" r:id="rId2"/>
    <sheet name="Р.2" sheetId="1" r:id="rId3"/>
    <sheet name="БАЗА" sheetId="4" state="veryHidden" r:id="rId4"/>
  </sheets>
  <definedNames>
    <definedName name="_xlnm.Print_Area" localSheetId="2">Р.2!$A:$G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18" i="2" l="1"/>
  <c r="V118" i="2"/>
  <c r="U118" i="2"/>
  <c r="T118" i="2"/>
  <c r="Q118" i="2"/>
  <c r="R118" i="2"/>
  <c r="S118" i="2"/>
  <c r="P118" i="2"/>
  <c r="M118" i="2"/>
  <c r="N118" i="2"/>
  <c r="O118" i="2"/>
  <c r="L118" i="2"/>
  <c r="J118" i="2"/>
  <c r="K118" i="2"/>
  <c r="I118" i="2"/>
  <c r="H118" i="2"/>
  <c r="E118" i="2"/>
  <c r="F118" i="2"/>
  <c r="G118" i="2"/>
  <c r="D118" i="2"/>
  <c r="L6" i="1"/>
  <c r="K6" i="1"/>
  <c r="J6" i="1"/>
  <c r="I6" i="1" l="1"/>
  <c r="E107" i="1"/>
  <c r="E84" i="1"/>
  <c r="L12" i="1"/>
  <c r="K12" i="1"/>
  <c r="J12" i="1"/>
  <c r="I12" i="1"/>
  <c r="D5" i="1"/>
  <c r="E5" i="1"/>
  <c r="F5" i="1"/>
  <c r="G5" i="1"/>
  <c r="D51" i="1"/>
  <c r="E51" i="1"/>
  <c r="F51" i="1"/>
  <c r="G51" i="1"/>
  <c r="D56" i="1"/>
  <c r="E56" i="1"/>
  <c r="F56" i="1"/>
  <c r="G56" i="1"/>
  <c r="D67" i="1"/>
  <c r="E67" i="1"/>
  <c r="F67" i="1"/>
  <c r="G67" i="1"/>
  <c r="D76" i="1"/>
  <c r="E76" i="1"/>
  <c r="F76" i="1"/>
  <c r="G76" i="1"/>
  <c r="D84" i="1"/>
  <c r="F84" i="1"/>
  <c r="G84" i="1"/>
  <c r="D107" i="1"/>
  <c r="F107" i="1"/>
  <c r="G107" i="1"/>
  <c r="D108" i="1"/>
  <c r="E108" i="1"/>
  <c r="F108" i="1"/>
  <c r="G108" i="1"/>
  <c r="D118" i="1"/>
  <c r="E118" i="1"/>
  <c r="F118" i="1"/>
  <c r="G118" i="1"/>
  <c r="D127" i="1"/>
  <c r="E127" i="1"/>
  <c r="F127" i="1"/>
  <c r="G127" i="1"/>
  <c r="D142" i="1"/>
  <c r="E142" i="1"/>
  <c r="F142" i="1"/>
  <c r="G142" i="1"/>
  <c r="D148" i="1"/>
  <c r="E148" i="1"/>
  <c r="F148" i="1"/>
  <c r="G148" i="1"/>
  <c r="D174" i="1"/>
  <c r="E174" i="1"/>
  <c r="F174" i="1"/>
  <c r="G174" i="1"/>
  <c r="D181" i="1"/>
  <c r="E181" i="1"/>
  <c r="F181" i="1"/>
  <c r="G181" i="1"/>
  <c r="D255" i="1"/>
  <c r="E255" i="1"/>
  <c r="F255" i="1"/>
  <c r="G255" i="1"/>
  <c r="D268" i="1"/>
  <c r="E268" i="1"/>
  <c r="F268" i="1"/>
  <c r="G268" i="1"/>
  <c r="D279" i="1"/>
  <c r="E279" i="1"/>
  <c r="F279" i="1"/>
  <c r="G279" i="1"/>
  <c r="D304" i="1"/>
  <c r="E304" i="1"/>
  <c r="F304" i="1"/>
  <c r="G304" i="1"/>
  <c r="I4" i="1" l="1"/>
  <c r="H298" i="1"/>
  <c r="H299" i="1"/>
  <c r="H300" i="1"/>
  <c r="H289" i="1"/>
  <c r="H232" i="1"/>
  <c r="H87" i="1"/>
  <c r="H179" i="1"/>
  <c r="H147" i="1"/>
  <c r="H123" i="1"/>
  <c r="H95" i="1" l="1"/>
  <c r="H314" i="1"/>
  <c r="H96" i="1"/>
  <c r="H244" i="1"/>
  <c r="H236" i="1"/>
  <c r="H43" i="1"/>
  <c r="H37" i="1"/>
  <c r="H295" i="1"/>
  <c r="H66" i="1"/>
  <c r="H115" i="1"/>
  <c r="H116" i="1"/>
  <c r="H117" i="1"/>
  <c r="H118" i="1"/>
  <c r="H119" i="1"/>
  <c r="H120" i="1"/>
  <c r="H121" i="1"/>
  <c r="H122" i="1"/>
  <c r="H175" i="1"/>
  <c r="H176" i="1"/>
  <c r="H177" i="1"/>
  <c r="H178" i="1"/>
  <c r="H144" i="1"/>
  <c r="H145" i="1"/>
  <c r="H143" i="1"/>
  <c r="H146" i="1"/>
  <c r="H171" i="1"/>
  <c r="H172" i="1"/>
  <c r="H173" i="1"/>
  <c r="H174" i="1"/>
  <c r="H139" i="1"/>
  <c r="H140" i="1"/>
  <c r="H141" i="1"/>
  <c r="H142" i="1"/>
  <c r="K18" i="1"/>
  <c r="I13" i="1"/>
  <c r="H6" i="1" l="1"/>
  <c r="D153" i="2" l="1"/>
  <c r="L286" i="1" l="1"/>
  <c r="K286" i="1"/>
  <c r="J286" i="1"/>
  <c r="I286" i="1"/>
  <c r="H293" i="1"/>
  <c r="H286" i="1" l="1"/>
  <c r="W345" i="2"/>
  <c r="J134" i="1"/>
  <c r="I136" i="1"/>
  <c r="L194" i="1"/>
  <c r="L215" i="1"/>
  <c r="L242" i="1"/>
  <c r="L135" i="1" l="1"/>
  <c r="L148" i="1" l="1"/>
  <c r="I170" i="1"/>
  <c r="L304" i="1"/>
  <c r="L278" i="1"/>
  <c r="K138" i="1"/>
  <c r="J170" i="1" l="1"/>
  <c r="J148" i="1"/>
  <c r="K170" i="1"/>
  <c r="K148" i="1"/>
  <c r="J14" i="1"/>
  <c r="L170" i="1"/>
  <c r="H218" i="1" l="1"/>
  <c r="I14" i="1" l="1"/>
  <c r="U345" i="2" l="1"/>
  <c r="T345" i="2"/>
  <c r="S345" i="2"/>
  <c r="R345" i="2"/>
  <c r="Q345" i="2"/>
  <c r="H33" i="1" l="1"/>
  <c r="L169" i="1" l="1"/>
  <c r="K169" i="1"/>
  <c r="J169" i="1"/>
  <c r="I169" i="1"/>
  <c r="L168" i="1"/>
  <c r="K168" i="1"/>
  <c r="J168" i="1"/>
  <c r="I168" i="1"/>
  <c r="I167" i="1"/>
  <c r="J167" i="1"/>
  <c r="K167" i="1"/>
  <c r="L167" i="1"/>
  <c r="L25" i="1"/>
  <c r="K25" i="1"/>
  <c r="J25" i="1"/>
  <c r="L21" i="1"/>
  <c r="H186" i="1" l="1"/>
  <c r="H187" i="1"/>
  <c r="H183" i="1"/>
  <c r="H184" i="1"/>
  <c r="V345" i="2" l="1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I278" i="1" l="1"/>
  <c r="I304" i="1"/>
  <c r="I267" i="1"/>
  <c r="H5" i="1"/>
  <c r="H9" i="1"/>
  <c r="H10" i="1"/>
  <c r="H11" i="1"/>
  <c r="H20" i="1"/>
  <c r="H23" i="1"/>
  <c r="H24" i="1"/>
  <c r="H26" i="1"/>
  <c r="H27" i="1"/>
  <c r="H30" i="1"/>
  <c r="H31" i="1"/>
  <c r="H34" i="1"/>
  <c r="H35" i="1"/>
  <c r="H38" i="1"/>
  <c r="H39" i="1"/>
  <c r="H40" i="1"/>
  <c r="H42" i="1"/>
  <c r="H44" i="1"/>
  <c r="H45" i="1"/>
  <c r="H48" i="1"/>
  <c r="H49" i="1"/>
  <c r="H50" i="1"/>
  <c r="H51" i="1"/>
  <c r="H52" i="1"/>
  <c r="H53" i="1"/>
  <c r="H54" i="1"/>
  <c r="H55" i="1"/>
  <c r="H56" i="1"/>
  <c r="H57" i="1"/>
  <c r="H59" i="1"/>
  <c r="H60" i="1"/>
  <c r="H61" i="1"/>
  <c r="H62" i="1"/>
  <c r="H64" i="1"/>
  <c r="H65" i="1"/>
  <c r="H67" i="1"/>
  <c r="H68" i="1"/>
  <c r="H69" i="1"/>
  <c r="H70" i="1"/>
  <c r="H71" i="1"/>
  <c r="H72" i="1"/>
  <c r="H74" i="1"/>
  <c r="H75" i="1"/>
  <c r="H77" i="1"/>
  <c r="H78" i="1"/>
  <c r="H79" i="1"/>
  <c r="H80" i="1"/>
  <c r="H81" i="1"/>
  <c r="H82" i="1"/>
  <c r="H83" i="1"/>
  <c r="H85" i="1"/>
  <c r="H86" i="1"/>
  <c r="H88" i="1"/>
  <c r="H89" i="1"/>
  <c r="H90" i="1"/>
  <c r="H91" i="1"/>
  <c r="H92" i="1"/>
  <c r="H93" i="1"/>
  <c r="H94" i="1"/>
  <c r="H97" i="1"/>
  <c r="H98" i="1"/>
  <c r="H99" i="1"/>
  <c r="H100" i="1"/>
  <c r="H101" i="1"/>
  <c r="H102" i="1"/>
  <c r="H103" i="1"/>
  <c r="H104" i="1"/>
  <c r="H105" i="1"/>
  <c r="H106" i="1"/>
  <c r="H107" i="1"/>
  <c r="H109" i="1"/>
  <c r="H110" i="1"/>
  <c r="H111" i="1"/>
  <c r="H112" i="1"/>
  <c r="H113" i="1"/>
  <c r="H124" i="1"/>
  <c r="H125" i="1"/>
  <c r="H126" i="1"/>
  <c r="H128" i="1"/>
  <c r="H129" i="1"/>
  <c r="H130" i="1"/>
  <c r="H131" i="1"/>
  <c r="H132" i="1"/>
  <c r="H133" i="1"/>
  <c r="H149" i="1"/>
  <c r="H150" i="1"/>
  <c r="H151" i="1"/>
  <c r="H152" i="1"/>
  <c r="H153" i="1"/>
  <c r="H154" i="1"/>
  <c r="H155" i="1"/>
  <c r="H156" i="1"/>
  <c r="H157" i="1"/>
  <c r="H162" i="1"/>
  <c r="H163" i="1"/>
  <c r="H164" i="1"/>
  <c r="H165" i="1"/>
  <c r="H180" i="1"/>
  <c r="H182" i="1"/>
  <c r="H185" i="1"/>
  <c r="H188" i="1"/>
  <c r="H189" i="1"/>
  <c r="H190" i="1"/>
  <c r="H191" i="1"/>
  <c r="H192" i="1"/>
  <c r="H193" i="1"/>
  <c r="H195" i="1"/>
  <c r="H196" i="1"/>
  <c r="H197" i="1"/>
  <c r="H198" i="1"/>
  <c r="H200" i="1"/>
  <c r="H201" i="1"/>
  <c r="H202" i="1"/>
  <c r="H204" i="1"/>
  <c r="H205" i="1"/>
  <c r="H206" i="1"/>
  <c r="H207" i="1"/>
  <c r="H208" i="1"/>
  <c r="H209" i="1"/>
  <c r="H210" i="1"/>
  <c r="H211" i="1"/>
  <c r="H212" i="1"/>
  <c r="H213" i="1"/>
  <c r="H214" i="1"/>
  <c r="H216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3" i="1"/>
  <c r="H234" i="1"/>
  <c r="H237" i="1"/>
  <c r="H238" i="1"/>
  <c r="H240" i="1"/>
  <c r="H243" i="1"/>
  <c r="H245" i="1"/>
  <c r="H246" i="1"/>
  <c r="H247" i="1"/>
  <c r="H249" i="1"/>
  <c r="H251" i="1"/>
  <c r="H253" i="1"/>
  <c r="H255" i="1"/>
  <c r="H256" i="1"/>
  <c r="H257" i="1"/>
  <c r="H258" i="1"/>
  <c r="H260" i="1"/>
  <c r="H261" i="1"/>
  <c r="H262" i="1"/>
  <c r="H264" i="1"/>
  <c r="H266" i="1"/>
  <c r="H268" i="1"/>
  <c r="H269" i="1"/>
  <c r="H270" i="1"/>
  <c r="H271" i="1"/>
  <c r="H272" i="1"/>
  <c r="H273" i="1"/>
  <c r="H275" i="1"/>
  <c r="H277" i="1"/>
  <c r="H279" i="1"/>
  <c r="H280" i="1"/>
  <c r="H281" i="1"/>
  <c r="H282" i="1"/>
  <c r="H283" i="1"/>
  <c r="H284" i="1"/>
  <c r="H285" i="1"/>
  <c r="H287" i="1"/>
  <c r="H288" i="1"/>
  <c r="H290" i="1"/>
  <c r="H291" i="1"/>
  <c r="H292" i="1"/>
  <c r="H294" i="1"/>
  <c r="H296" i="1"/>
  <c r="H301" i="1"/>
  <c r="H302" i="1"/>
  <c r="H303" i="1"/>
  <c r="H305" i="1"/>
  <c r="H306" i="1"/>
  <c r="H307" i="1"/>
  <c r="H308" i="1"/>
  <c r="H309" i="1"/>
  <c r="H310" i="1"/>
  <c r="H311" i="1"/>
  <c r="H312" i="1"/>
  <c r="H313" i="1"/>
  <c r="H315" i="1"/>
  <c r="H316" i="1"/>
  <c r="H317" i="1"/>
  <c r="H318" i="1"/>
  <c r="H319" i="1"/>
  <c r="H320" i="1"/>
  <c r="I254" i="1"/>
  <c r="K297" i="1"/>
  <c r="L297" i="1"/>
  <c r="J297" i="1"/>
  <c r="I297" i="1"/>
  <c r="K276" i="1"/>
  <c r="L276" i="1"/>
  <c r="J276" i="1"/>
  <c r="I276" i="1"/>
  <c r="K274" i="1"/>
  <c r="L274" i="1"/>
  <c r="J274" i="1"/>
  <c r="I274" i="1"/>
  <c r="K265" i="1"/>
  <c r="L265" i="1"/>
  <c r="J265" i="1"/>
  <c r="I265" i="1"/>
  <c r="K263" i="1"/>
  <c r="L263" i="1"/>
  <c r="J263" i="1"/>
  <c r="I263" i="1"/>
  <c r="K259" i="1"/>
  <c r="L259" i="1"/>
  <c r="J259" i="1"/>
  <c r="I259" i="1"/>
  <c r="K252" i="1"/>
  <c r="L252" i="1"/>
  <c r="J252" i="1"/>
  <c r="I252" i="1"/>
  <c r="K250" i="1"/>
  <c r="L250" i="1"/>
  <c r="J250" i="1"/>
  <c r="I250" i="1"/>
  <c r="K248" i="1"/>
  <c r="L248" i="1"/>
  <c r="J248" i="1"/>
  <c r="I248" i="1"/>
  <c r="K242" i="1"/>
  <c r="J242" i="1"/>
  <c r="I242" i="1"/>
  <c r="K241" i="1"/>
  <c r="L241" i="1"/>
  <c r="J241" i="1"/>
  <c r="I241" i="1"/>
  <c r="K239" i="1"/>
  <c r="L239" i="1"/>
  <c r="J239" i="1"/>
  <c r="I239" i="1"/>
  <c r="K235" i="1"/>
  <c r="L235" i="1"/>
  <c r="J235" i="1"/>
  <c r="I235" i="1"/>
  <c r="K219" i="1"/>
  <c r="L219" i="1"/>
  <c r="J219" i="1"/>
  <c r="I219" i="1"/>
  <c r="K217" i="1"/>
  <c r="L217" i="1"/>
  <c r="J217" i="1"/>
  <c r="I217" i="1"/>
  <c r="K215" i="1"/>
  <c r="J215" i="1"/>
  <c r="I215" i="1"/>
  <c r="K203" i="1"/>
  <c r="L203" i="1"/>
  <c r="J203" i="1"/>
  <c r="I203" i="1"/>
  <c r="K199" i="1"/>
  <c r="L199" i="1"/>
  <c r="J199" i="1"/>
  <c r="I199" i="1"/>
  <c r="K194" i="1"/>
  <c r="J194" i="1"/>
  <c r="I194" i="1"/>
  <c r="K166" i="1"/>
  <c r="L166" i="1"/>
  <c r="J166" i="1"/>
  <c r="I166" i="1"/>
  <c r="J159" i="1"/>
  <c r="K159" i="1"/>
  <c r="L159" i="1"/>
  <c r="J160" i="1"/>
  <c r="K160" i="1"/>
  <c r="L160" i="1"/>
  <c r="J161" i="1"/>
  <c r="K161" i="1"/>
  <c r="L161" i="1"/>
  <c r="K158" i="1"/>
  <c r="L158" i="1"/>
  <c r="J158" i="1"/>
  <c r="I158" i="1"/>
  <c r="K137" i="1"/>
  <c r="L137" i="1"/>
  <c r="J137" i="1"/>
  <c r="I137" i="1"/>
  <c r="K136" i="1"/>
  <c r="L136" i="1"/>
  <c r="J136" i="1"/>
  <c r="K135" i="1"/>
  <c r="J135" i="1"/>
  <c r="I135" i="1"/>
  <c r="K134" i="1"/>
  <c r="L134" i="1"/>
  <c r="I134" i="1"/>
  <c r="I138" i="1"/>
  <c r="I108" i="1"/>
  <c r="K73" i="1"/>
  <c r="L73" i="1"/>
  <c r="J73" i="1"/>
  <c r="I73" i="1"/>
  <c r="K63" i="1"/>
  <c r="L63" i="1"/>
  <c r="J63" i="1"/>
  <c r="I63" i="1"/>
  <c r="K58" i="1"/>
  <c r="L58" i="1"/>
  <c r="J58" i="1"/>
  <c r="I58" i="1"/>
  <c r="K47" i="1"/>
  <c r="L47" i="1"/>
  <c r="J47" i="1"/>
  <c r="I47" i="1"/>
  <c r="K41" i="1"/>
  <c r="L41" i="1"/>
  <c r="J41" i="1"/>
  <c r="I41" i="1"/>
  <c r="K36" i="1"/>
  <c r="L36" i="1"/>
  <c r="J36" i="1"/>
  <c r="I36" i="1"/>
  <c r="K32" i="1"/>
  <c r="L32" i="1"/>
  <c r="J32" i="1"/>
  <c r="I32" i="1"/>
  <c r="K29" i="1"/>
  <c r="L29" i="1"/>
  <c r="J29" i="1"/>
  <c r="I29" i="1"/>
  <c r="I25" i="1"/>
  <c r="K22" i="1"/>
  <c r="L22" i="1"/>
  <c r="J22" i="1"/>
  <c r="I22" i="1"/>
  <c r="K21" i="1"/>
  <c r="J21" i="1"/>
  <c r="I21" i="1"/>
  <c r="K19" i="1"/>
  <c r="L19" i="1"/>
  <c r="J19" i="1"/>
  <c r="I19" i="1"/>
  <c r="L18" i="1"/>
  <c r="J18" i="1"/>
  <c r="I18" i="1"/>
  <c r="L16" i="1"/>
  <c r="K16" i="1"/>
  <c r="J16" i="1"/>
  <c r="I16" i="1"/>
  <c r="K13" i="1"/>
  <c r="L13" i="1"/>
  <c r="J13" i="1"/>
  <c r="L8" i="1"/>
  <c r="K8" i="1"/>
  <c r="J8" i="1"/>
  <c r="I8" i="1"/>
  <c r="L7" i="1"/>
  <c r="K7" i="1"/>
  <c r="J7" i="1"/>
  <c r="I7" i="1"/>
  <c r="I148" i="1" l="1"/>
  <c r="I15" i="1"/>
  <c r="I127" i="1"/>
  <c r="H13" i="1"/>
  <c r="H32" i="1"/>
  <c r="H47" i="1"/>
  <c r="H58" i="1"/>
  <c r="H136" i="1"/>
  <c r="H158" i="1"/>
  <c r="H166" i="1"/>
  <c r="H217" i="1"/>
  <c r="H242" i="1"/>
  <c r="H259" i="1"/>
  <c r="H263" i="1"/>
  <c r="H18" i="1"/>
  <c r="H19" i="1"/>
  <c r="H21" i="1"/>
  <c r="H22" i="1"/>
  <c r="H25" i="1"/>
  <c r="H29" i="1"/>
  <c r="H36" i="1"/>
  <c r="H41" i="1"/>
  <c r="H63" i="1"/>
  <c r="H73" i="1"/>
  <c r="H194" i="1"/>
  <c r="H199" i="1"/>
  <c r="H203" i="1"/>
  <c r="H215" i="1"/>
  <c r="H219" i="1"/>
  <c r="H235" i="1"/>
  <c r="H239" i="1"/>
  <c r="H241" i="1"/>
  <c r="H248" i="1"/>
  <c r="H250" i="1"/>
  <c r="H252" i="1"/>
  <c r="H265" i="1"/>
  <c r="H274" i="1"/>
  <c r="H276" i="1"/>
  <c r="H297" i="1"/>
  <c r="H16" i="1"/>
  <c r="H7" i="1"/>
  <c r="H8" i="1"/>
  <c r="H12" i="1"/>
  <c r="H134" i="1"/>
  <c r="H135" i="1"/>
  <c r="H137" i="1"/>
  <c r="H169" i="1"/>
  <c r="H168" i="1"/>
  <c r="H167" i="1"/>
  <c r="I159" i="1"/>
  <c r="H159" i="1" s="1"/>
  <c r="I160" i="1"/>
  <c r="H160" i="1" s="1"/>
  <c r="I161" i="1"/>
  <c r="H161" i="1" s="1"/>
  <c r="L181" i="1" l="1"/>
  <c r="K181" i="1"/>
  <c r="J181" i="1"/>
  <c r="I181" i="1"/>
  <c r="H181" i="1" l="1"/>
  <c r="U358" i="2" l="1"/>
  <c r="U356" i="2"/>
  <c r="T355" i="2"/>
  <c r="J304" i="1"/>
  <c r="K304" i="1"/>
  <c r="J4" i="1"/>
  <c r="K4" i="1"/>
  <c r="J254" i="1"/>
  <c r="K254" i="1"/>
  <c r="L254" i="1"/>
  <c r="J267" i="1"/>
  <c r="K267" i="1"/>
  <c r="L267" i="1"/>
  <c r="J278" i="1"/>
  <c r="K278" i="1"/>
  <c r="L4" i="1" l="1"/>
  <c r="H278" i="1"/>
  <c r="H304" i="1"/>
  <c r="H254" i="1"/>
  <c r="H267" i="1"/>
  <c r="L14" i="1"/>
  <c r="K14" i="1"/>
  <c r="L138" i="1"/>
  <c r="L127" i="1"/>
  <c r="K127" i="1"/>
  <c r="J138" i="1"/>
  <c r="J127" i="1"/>
  <c r="I114" i="1"/>
  <c r="J114" i="1"/>
  <c r="J108" i="1"/>
  <c r="K15" i="1"/>
  <c r="K114" i="1"/>
  <c r="K108" i="1"/>
  <c r="L15" i="1"/>
  <c r="L114" i="1"/>
  <c r="L108" i="1"/>
  <c r="I46" i="1"/>
  <c r="L46" i="1"/>
  <c r="K46" i="1"/>
  <c r="J46" i="1"/>
  <c r="J15" i="1"/>
  <c r="D162" i="2"/>
  <c r="W336" i="2"/>
  <c r="V336" i="2"/>
  <c r="W329" i="2"/>
  <c r="V329" i="2"/>
  <c r="W317" i="2"/>
  <c r="V317" i="2"/>
  <c r="W315" i="2"/>
  <c r="V315" i="2"/>
  <c r="W302" i="2"/>
  <c r="V302" i="2"/>
  <c r="W294" i="2"/>
  <c r="V294" i="2"/>
  <c r="W279" i="2"/>
  <c r="V279" i="2"/>
  <c r="W273" i="2"/>
  <c r="V273" i="2"/>
  <c r="W258" i="2"/>
  <c r="V258" i="2"/>
  <c r="W243" i="2"/>
  <c r="V243" i="2"/>
  <c r="W237" i="2"/>
  <c r="V237" i="2"/>
  <c r="W228" i="2"/>
  <c r="V228" i="2"/>
  <c r="W214" i="2"/>
  <c r="V214" i="2"/>
  <c r="W206" i="2"/>
  <c r="V206" i="2"/>
  <c r="W195" i="2"/>
  <c r="V195" i="2"/>
  <c r="W190" i="2"/>
  <c r="V190" i="2"/>
  <c r="W183" i="2"/>
  <c r="V183" i="2"/>
  <c r="W162" i="2"/>
  <c r="V162" i="2"/>
  <c r="W153" i="2"/>
  <c r="V153" i="2"/>
  <c r="W143" i="2"/>
  <c r="V143" i="2"/>
  <c r="W136" i="2"/>
  <c r="V136" i="2"/>
  <c r="W100" i="2"/>
  <c r="V100" i="2"/>
  <c r="W82" i="2"/>
  <c r="V82" i="2"/>
  <c r="W64" i="2"/>
  <c r="V64" i="2"/>
  <c r="W46" i="2"/>
  <c r="V46" i="2"/>
  <c r="W42" i="2"/>
  <c r="V42" i="2"/>
  <c r="W32" i="2"/>
  <c r="V32" i="2"/>
  <c r="W25" i="2"/>
  <c r="V25" i="2"/>
  <c r="W14" i="2"/>
  <c r="V14" i="2"/>
  <c r="W5" i="2"/>
  <c r="V5" i="2"/>
  <c r="U336" i="2"/>
  <c r="T336" i="2"/>
  <c r="S336" i="2"/>
  <c r="R336" i="2"/>
  <c r="Q336" i="2"/>
  <c r="Q335" i="2" s="1"/>
  <c r="P336" i="2"/>
  <c r="O336" i="2"/>
  <c r="N336" i="2"/>
  <c r="M336" i="2"/>
  <c r="L336" i="2"/>
  <c r="K336" i="2"/>
  <c r="K335" i="2" s="1"/>
  <c r="J336" i="2"/>
  <c r="I336" i="2"/>
  <c r="H336" i="2"/>
  <c r="G336" i="2"/>
  <c r="F336" i="2"/>
  <c r="E336" i="2"/>
  <c r="U329" i="2"/>
  <c r="T329" i="2"/>
  <c r="S329" i="2"/>
  <c r="R329" i="2"/>
  <c r="Q329" i="2"/>
  <c r="P329" i="2"/>
  <c r="O329" i="2"/>
  <c r="N329" i="2"/>
  <c r="M329" i="2"/>
  <c r="L329" i="2"/>
  <c r="K329" i="2"/>
  <c r="J329" i="2"/>
  <c r="I329" i="2"/>
  <c r="H329" i="2"/>
  <c r="G329" i="2"/>
  <c r="F329" i="2"/>
  <c r="E329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U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U302" i="2"/>
  <c r="T302" i="2"/>
  <c r="S302" i="2"/>
  <c r="R302" i="2"/>
  <c r="Q302" i="2"/>
  <c r="P302" i="2"/>
  <c r="O302" i="2"/>
  <c r="N302" i="2"/>
  <c r="M302" i="2"/>
  <c r="L302" i="2"/>
  <c r="K302" i="2"/>
  <c r="J302" i="2"/>
  <c r="I302" i="2"/>
  <c r="H302" i="2"/>
  <c r="G302" i="2"/>
  <c r="F302" i="2"/>
  <c r="E302" i="2"/>
  <c r="U294" i="2"/>
  <c r="T294" i="2"/>
  <c r="S294" i="2"/>
  <c r="R294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E294" i="2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336" i="2"/>
  <c r="D335" i="2" s="1"/>
  <c r="D329" i="2"/>
  <c r="D317" i="2"/>
  <c r="D315" i="2"/>
  <c r="D302" i="2"/>
  <c r="D294" i="2"/>
  <c r="D279" i="2"/>
  <c r="D273" i="2"/>
  <c r="D258" i="2"/>
  <c r="D243" i="2"/>
  <c r="D237" i="2"/>
  <c r="D228" i="2"/>
  <c r="D214" i="2"/>
  <c r="D206" i="2"/>
  <c r="D195" i="2"/>
  <c r="D190" i="2"/>
  <c r="D183" i="2"/>
  <c r="D143" i="2"/>
  <c r="D136" i="2"/>
  <c r="D100" i="2"/>
  <c r="D82" i="2"/>
  <c r="D64" i="2"/>
  <c r="D46" i="2"/>
  <c r="D32" i="2"/>
  <c r="D25" i="2"/>
  <c r="D14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I161" i="2" l="1"/>
  <c r="H4" i="1"/>
  <c r="S335" i="2"/>
  <c r="M335" i="2"/>
  <c r="I335" i="2"/>
  <c r="E335" i="2"/>
  <c r="U335" i="2"/>
  <c r="H14" i="1"/>
  <c r="H170" i="1"/>
  <c r="H148" i="1"/>
  <c r="H15" i="1"/>
  <c r="H127" i="1"/>
  <c r="H138" i="1"/>
  <c r="H114" i="1"/>
  <c r="H108" i="1"/>
  <c r="H46" i="1"/>
  <c r="H335" i="2"/>
  <c r="P335" i="2"/>
  <c r="L335" i="2"/>
  <c r="O335" i="2"/>
  <c r="G335" i="2"/>
  <c r="V335" i="2"/>
  <c r="F335" i="2"/>
  <c r="J335" i="2"/>
  <c r="N335" i="2"/>
  <c r="R335" i="2"/>
  <c r="W335" i="2"/>
  <c r="T335" i="2"/>
  <c r="J314" i="2"/>
  <c r="N314" i="2"/>
  <c r="R314" i="2"/>
  <c r="V161" i="2"/>
  <c r="Q314" i="2"/>
  <c r="F314" i="2"/>
  <c r="D314" i="2"/>
  <c r="H314" i="2"/>
  <c r="L314" i="2"/>
  <c r="P314" i="2"/>
  <c r="T314" i="2"/>
  <c r="E314" i="2"/>
  <c r="I314" i="2"/>
  <c r="M314" i="2"/>
  <c r="U314" i="2"/>
  <c r="E161" i="2"/>
  <c r="M161" i="2"/>
  <c r="Q161" i="2"/>
  <c r="U161" i="2"/>
  <c r="F242" i="2"/>
  <c r="J242" i="2"/>
  <c r="N242" i="2"/>
  <c r="R242" i="2"/>
  <c r="H242" i="2"/>
  <c r="G314" i="2"/>
  <c r="K314" i="2"/>
  <c r="O314" i="2"/>
  <c r="S314" i="2"/>
  <c r="V314" i="2"/>
  <c r="W314" i="2"/>
  <c r="S242" i="2"/>
  <c r="G242" i="2"/>
  <c r="K242" i="2"/>
  <c r="O242" i="2"/>
  <c r="L242" i="2"/>
  <c r="P242" i="2"/>
  <c r="T242" i="2"/>
  <c r="D242" i="2"/>
  <c r="V242" i="2"/>
  <c r="E242" i="2"/>
  <c r="I242" i="2"/>
  <c r="M242" i="2"/>
  <c r="Q242" i="2"/>
  <c r="U242" i="2"/>
  <c r="W242" i="2"/>
  <c r="F161" i="2"/>
  <c r="J161" i="2"/>
  <c r="N161" i="2"/>
  <c r="R161" i="2"/>
  <c r="G161" i="2"/>
  <c r="O161" i="2"/>
  <c r="S161" i="2"/>
  <c r="K161" i="2"/>
  <c r="W161" i="2"/>
  <c r="H161" i="2"/>
  <c r="L161" i="2"/>
  <c r="P161" i="2"/>
  <c r="T161" i="2"/>
  <c r="D161" i="2"/>
  <c r="W99" i="2"/>
  <c r="F4" i="2"/>
  <c r="E99" i="2"/>
  <c r="I99" i="2"/>
  <c r="M99" i="2"/>
  <c r="Q99" i="2"/>
  <c r="U99" i="2"/>
  <c r="P99" i="2"/>
  <c r="V99" i="2"/>
  <c r="N4" i="2"/>
  <c r="G99" i="2"/>
  <c r="V4" i="2"/>
  <c r="H99" i="2"/>
  <c r="W4" i="2"/>
  <c r="R4" i="2"/>
  <c r="G4" i="2"/>
  <c r="K4" i="2"/>
  <c r="O4" i="2"/>
  <c r="S4" i="2"/>
  <c r="F99" i="2"/>
  <c r="J99" i="2"/>
  <c r="N99" i="2"/>
  <c r="R99" i="2"/>
  <c r="J4" i="2"/>
  <c r="D4" i="2"/>
  <c r="H4" i="2"/>
  <c r="L4" i="2"/>
  <c r="P4" i="2"/>
  <c r="T4" i="2"/>
  <c r="K99" i="2"/>
  <c r="O99" i="2"/>
  <c r="S99" i="2"/>
  <c r="E4" i="2"/>
  <c r="M4" i="2"/>
  <c r="Q4" i="2"/>
  <c r="U4" i="2"/>
  <c r="D99" i="2"/>
  <c r="I4" i="2"/>
  <c r="L99" i="2"/>
  <c r="T99" i="2"/>
  <c r="O354" i="2" l="1"/>
  <c r="K354" i="2"/>
  <c r="Q354" i="2"/>
  <c r="W354" i="2"/>
  <c r="R354" i="2"/>
  <c r="N354" i="2"/>
  <c r="J354" i="2"/>
  <c r="G354" i="2"/>
  <c r="V354" i="2"/>
  <c r="I354" i="2"/>
  <c r="F354" i="2"/>
  <c r="M354" i="2"/>
  <c r="K17" i="1" s="1"/>
  <c r="L354" i="2"/>
  <c r="S354" i="2"/>
  <c r="U354" i="2"/>
  <c r="P354" i="2"/>
  <c r="H354" i="2"/>
  <c r="T354" i="2"/>
  <c r="E354" i="2"/>
  <c r="D354" i="2"/>
  <c r="I17" i="1" l="1"/>
  <c r="L17" i="1"/>
  <c r="J28" i="1"/>
  <c r="J17" i="1"/>
  <c r="J84" i="1"/>
  <c r="K28" i="1"/>
  <c r="K84" i="1"/>
  <c r="K76" i="1"/>
  <c r="J76" i="1"/>
  <c r="I28" i="1"/>
  <c r="I84" i="1"/>
  <c r="L28" i="1"/>
  <c r="L84" i="1"/>
  <c r="L76" i="1"/>
  <c r="I76" i="1"/>
  <c r="H76" i="1" l="1"/>
  <c r="H84" i="1"/>
  <c r="H28" i="1"/>
  <c r="H17" i="1"/>
</calcChain>
</file>

<file path=xl/sharedStrings.xml><?xml version="1.0" encoding="utf-8"?>
<sst xmlns="http://schemas.openxmlformats.org/spreadsheetml/2006/main" count="1571" uniqueCount="942">
  <si>
    <t>Руководители:</t>
  </si>
  <si>
    <t>Данные свели (исполнители):</t>
  </si>
  <si>
    <t>за истечением срока давности (п.12)</t>
  </si>
  <si>
    <t>в связи с декриминализацией деяния (п.10)</t>
  </si>
  <si>
    <t>за отсутствием заявления потерпевшего в случаях, предусмотренных УПК (п.4)</t>
  </si>
  <si>
    <t>за правомерностью деяния... (п.3)</t>
  </si>
  <si>
    <t>Основания отказа в ВУД</t>
  </si>
  <si>
    <t>Количество материалов, по кот.отменены реш. об отказе в ВУД с ВУД</t>
  </si>
  <si>
    <t>Количество материалов, по кот.отменены реш. об отказе в ВУД</t>
  </si>
  <si>
    <t>Количество материалов, по которым не принято решений (остаток)</t>
  </si>
  <si>
    <t>Количество материалов, направленных в др.органы</t>
  </si>
  <si>
    <t>Количество материалов, по кот.принято реш. о ВУД</t>
  </si>
  <si>
    <t>Количество материалов, по кот.принято реш. об отказе в ВУД</t>
  </si>
  <si>
    <t>Количество зарегистрированных сообщений в ЖУИ</t>
  </si>
  <si>
    <t>Остаток сообщений, зарег-ных в ЖУИ, на начало отчетного года</t>
  </si>
  <si>
    <t>ГКНБ</t>
  </si>
  <si>
    <t>Деньги, ценности, являющ. предметом взятки, обращ. в доход гос-ва</t>
  </si>
  <si>
    <t>из них путем взаимозачета</t>
  </si>
  <si>
    <t xml:space="preserve">из них в натуральном </t>
  </si>
  <si>
    <t>из них в денежном выражении</t>
  </si>
  <si>
    <t>в  том числе по материалам о гос. собственности</t>
  </si>
  <si>
    <t>Сумма возмещенного ущерба</t>
  </si>
  <si>
    <t>в  том числе по матералам о государственной собственности</t>
  </si>
  <si>
    <t>Ущерб по отказным материалам</t>
  </si>
  <si>
    <t>в том числе дел о государственной собственности</t>
  </si>
  <si>
    <t>Количество отказных материалов</t>
  </si>
  <si>
    <t>в  том числе по делам о гос. собственности</t>
  </si>
  <si>
    <t>в  том числе по делам о государственной собственности</t>
  </si>
  <si>
    <t>Ущерб по прекращенным уголовным делам</t>
  </si>
  <si>
    <t>Количество прекращенных уголовных дел</t>
  </si>
  <si>
    <t>Деньги, ценности, являющ. предметом взятки, обращенные в доход гос-ва</t>
  </si>
  <si>
    <t>Изъято контрабандного груза и товаров без акцизных марок на сумму</t>
  </si>
  <si>
    <t>Ущерб, в причинении которого предъявлено обвинение</t>
  </si>
  <si>
    <t>в том числе по делам о государственной собственности</t>
  </si>
  <si>
    <t>Число обвиняемых по ним</t>
  </si>
  <si>
    <t>Количество уголовных дел, направленных в суд</t>
  </si>
  <si>
    <t xml:space="preserve">из них женщин </t>
  </si>
  <si>
    <t>Из числа отмененных - содержалось под стражей</t>
  </si>
  <si>
    <t>Отменено оправдательных приговоров - в лицах</t>
  </si>
  <si>
    <t xml:space="preserve">Отменено оправдательных приговоров - в делах </t>
  </si>
  <si>
    <t>Из числа оправданных содержалось под стражей</t>
  </si>
  <si>
    <t>Вынесено оправдательных приговоров - в лицах</t>
  </si>
  <si>
    <t xml:space="preserve">Вынесено оправдательных приговоров - в делах </t>
  </si>
  <si>
    <t>Остаток находящихся в производстве дел</t>
  </si>
  <si>
    <t>Передано в другие органы</t>
  </si>
  <si>
    <t>Соединено</t>
  </si>
  <si>
    <t>Приостановлено дел</t>
  </si>
  <si>
    <t>Прекращено дел</t>
  </si>
  <si>
    <t>Направ.дел прокурору с обвинительным актом (из числа оправд.)</t>
  </si>
  <si>
    <t>по ним содержалось под стражей (из предыдущ.строки)</t>
  </si>
  <si>
    <t>из них по реабил.основаниям</t>
  </si>
  <si>
    <t>из направленных в суд или прокурору в текущем году</t>
  </si>
  <si>
    <t>в т.ч. в установ.законом срок</t>
  </si>
  <si>
    <t>Направ.дел прокурору с обвинительным  актом</t>
  </si>
  <si>
    <t>Признано судом незаконно задержанным</t>
  </si>
  <si>
    <t>передача под наблюдение командования воинской части</t>
  </si>
  <si>
    <t>залог</t>
  </si>
  <si>
    <t>подписка о невыезде</t>
  </si>
  <si>
    <t>домашний арест</t>
  </si>
  <si>
    <t>заключение под стражу</t>
  </si>
  <si>
    <t>из них женщин</t>
  </si>
  <si>
    <t>Принято задерж.лиц из других органов</t>
  </si>
  <si>
    <t>из числа отмененных в текущем году по п.4</t>
  </si>
  <si>
    <t>из числа отмененных в текущем году по п.3</t>
  </si>
  <si>
    <t>из числа отмененных в текущем году по п.2</t>
  </si>
  <si>
    <t>из числа отмененных в текущем году по п.1</t>
  </si>
  <si>
    <t>из числа отмененных за все годы по п.4</t>
  </si>
  <si>
    <t>из числа отмененных за все годы по п.3</t>
  </si>
  <si>
    <t>из числа отмененных за все годы по п.2</t>
  </si>
  <si>
    <t>из числа отмененных за все годы по п.1</t>
  </si>
  <si>
    <t>из них совершенных женщинами</t>
  </si>
  <si>
    <t xml:space="preserve">Из них Генеральной прокуратурой </t>
  </si>
  <si>
    <t xml:space="preserve">Из них прокуратурами областей, г.г.Бишкек и Ош, военной прокуратурой </t>
  </si>
  <si>
    <t>Из них горрайпрокуратурами и приравненными к ним прокуратурам</t>
  </si>
  <si>
    <t>в текущем году по п.4</t>
  </si>
  <si>
    <t>в текущем году по п.3</t>
  </si>
  <si>
    <t>в текущем году по п.2</t>
  </si>
  <si>
    <t>в текущем году по п.1</t>
  </si>
  <si>
    <t>за все годы по п.4</t>
  </si>
  <si>
    <t>за все годы по п.3</t>
  </si>
  <si>
    <t>за все годы по п.2</t>
  </si>
  <si>
    <t>за все годы по п.1</t>
  </si>
  <si>
    <t>Возобновлено следователем ранее приостановленных уголовных дел</t>
  </si>
  <si>
    <t xml:space="preserve">Из них горрайпрокуратурами и приравненными к ним прокуратурам </t>
  </si>
  <si>
    <t>в связи с примирением сторон (п.13) - в делах</t>
  </si>
  <si>
    <t>за истечением срока давности (п.12) - в делах</t>
  </si>
  <si>
    <t>в том числе свыше 9 месяцев</t>
  </si>
  <si>
    <t>в том числе свыше 6 месяцев, но не более 9 месяцев</t>
  </si>
  <si>
    <t>в том числе свыше 4 месяцев, но не более 6 месяцев</t>
  </si>
  <si>
    <t>в том числе свыше 2 месяцев, но не более 4 месяцев</t>
  </si>
  <si>
    <t>в том числе свыше 1 месяца по делам небольшой тяжести</t>
  </si>
  <si>
    <t>в том числе в установленный законом срок</t>
  </si>
  <si>
    <t>Всего</t>
  </si>
  <si>
    <t xml:space="preserve">Количество работающих следователей на конец отчетного периода </t>
  </si>
  <si>
    <t>Количество следователей на конец отчетного периода по штатному расписанию</t>
  </si>
  <si>
    <t>со сроком содержания под стражей свыше 9 месяцев</t>
  </si>
  <si>
    <t>со сроком содержания под стражей свыше 6 месяцев, но не более 9 месяцев</t>
  </si>
  <si>
    <t>со сроком содержания под стражей свыше 4 месяцев, но не более 6 месяцев</t>
  </si>
  <si>
    <t>со сроком содержания под стражей свыше 2 месяцев, но не более 4 месяцев</t>
  </si>
  <si>
    <t>со сроком содержания под стражей в установленный законом срок</t>
  </si>
  <si>
    <t>Число арестованных лиц по неоконченным делам (из остатка)</t>
  </si>
  <si>
    <t xml:space="preserve">из них совершенных женщинами </t>
  </si>
  <si>
    <t>с личностью</t>
  </si>
  <si>
    <t>Остаток неоконченных дел на конец отчетного периода</t>
  </si>
  <si>
    <t>в том числе с заведением розыскного дела</t>
  </si>
  <si>
    <t>остаток неоконченных дел из числа присоединенных</t>
  </si>
  <si>
    <t>из числа присоединенных приостановлено</t>
  </si>
  <si>
    <t>из числа присоединенных направлено в суд</t>
  </si>
  <si>
    <t>Присоединено дел к другим делам</t>
  </si>
  <si>
    <t>в том числе за пределы Кыргызской Республики</t>
  </si>
  <si>
    <t xml:space="preserve">Направлено дел в другие органы </t>
  </si>
  <si>
    <t>Количество дел, направленных в суд после отмены постан. о прекращ. уг. дела</t>
  </si>
  <si>
    <t>Из них ранее содержались под стражей (из числа отмененных дел)</t>
  </si>
  <si>
    <t>из них в лицах</t>
  </si>
  <si>
    <t>Отменено прокурорами (судами) постан. о прекращ. уг. преслед. в делах</t>
  </si>
  <si>
    <t>Из учтенных содержалось под стражей</t>
  </si>
  <si>
    <t>Прекращено дел из числа оконченных производством</t>
  </si>
  <si>
    <t>из них окончено повторно</t>
  </si>
  <si>
    <t>из них направлено в суд</t>
  </si>
  <si>
    <t>в т.ч. соверш.женщинами</t>
  </si>
  <si>
    <t>из них направлено в суд с утвержд. обвин.актом</t>
  </si>
  <si>
    <t>Направлено дел прокурору (с повторно направленными) из числа оконченных с постановлением об окончании досудебного производства</t>
  </si>
  <si>
    <t>из них окончено дел в с нарушенным сроком следствия</t>
  </si>
  <si>
    <t>из них дел о преступ.совершенных женщинами</t>
  </si>
  <si>
    <t>Всего окончено в отчетном периоде (с повторно оконченными)</t>
  </si>
  <si>
    <t>Возобновлено производством из числа прекращенных дел</t>
  </si>
  <si>
    <t>Возобновлено производством из числа приостановленных дел</t>
  </si>
  <si>
    <t>из них возвращено судом</t>
  </si>
  <si>
    <t>Поступило для восполнения пробелов следствия</t>
  </si>
  <si>
    <t>Зарегистрировано в ЕРП из числа выделенных преступлений</t>
  </si>
  <si>
    <t>Принято дел из других органов</t>
  </si>
  <si>
    <t>из них отменено постановлений о ВУД (аннулировано)</t>
  </si>
  <si>
    <t>из них зарегистрировано прокурором из числа отмененых с ВУД</t>
  </si>
  <si>
    <t>Зарегистрировано дел в ЕРП (ВУД)</t>
  </si>
  <si>
    <t>Принято к производству в отчетном периоде</t>
  </si>
  <si>
    <t>Остаток неоконченных уг.дел на начало отчетного периода</t>
  </si>
  <si>
    <t>Из них дел о прест., соверш. женщ.</t>
  </si>
  <si>
    <t>ИТОГО:</t>
  </si>
  <si>
    <t>ст.416</t>
  </si>
  <si>
    <t>ст.415</t>
  </si>
  <si>
    <t>ст.414</t>
  </si>
  <si>
    <t>ст.413</t>
  </si>
  <si>
    <t>ст.412</t>
  </si>
  <si>
    <t>ст.411</t>
  </si>
  <si>
    <t>ст.410</t>
  </si>
  <si>
    <t>Глава 51</t>
  </si>
  <si>
    <t>ст.409</t>
  </si>
  <si>
    <t>ст.408</t>
  </si>
  <si>
    <t>ст.407</t>
  </si>
  <si>
    <t>ст.406</t>
  </si>
  <si>
    <t>ст.405</t>
  </si>
  <si>
    <t>ст.404</t>
  </si>
  <si>
    <t>ст.403</t>
  </si>
  <si>
    <t>ст.402</t>
  </si>
  <si>
    <t>Глава 50</t>
  </si>
  <si>
    <t>Раздел XI</t>
  </si>
  <si>
    <t>ст.401</t>
  </si>
  <si>
    <t>ст.400</t>
  </si>
  <si>
    <t>ст.399</t>
  </si>
  <si>
    <t>ст.398</t>
  </si>
  <si>
    <t>ст.397</t>
  </si>
  <si>
    <t>Глава 49</t>
  </si>
  <si>
    <t>ст.396</t>
  </si>
  <si>
    <t>ст.395</t>
  </si>
  <si>
    <t>ст.394</t>
  </si>
  <si>
    <t>ст.393</t>
  </si>
  <si>
    <t>ст.392</t>
  </si>
  <si>
    <t>ст.391</t>
  </si>
  <si>
    <t>ст.390</t>
  </si>
  <si>
    <t>ст.389</t>
  </si>
  <si>
    <t>ст.388</t>
  </si>
  <si>
    <t>ст.387</t>
  </si>
  <si>
    <t>ст.386</t>
  </si>
  <si>
    <t>Глава 48</t>
  </si>
  <si>
    <t>ст.385</t>
  </si>
  <si>
    <t>Глава 47</t>
  </si>
  <si>
    <t>Раздел X</t>
  </si>
  <si>
    <t>ст.384</t>
  </si>
  <si>
    <t>ст.383</t>
  </si>
  <si>
    <t>ст.382</t>
  </si>
  <si>
    <t>ст.381</t>
  </si>
  <si>
    <t>ст.380</t>
  </si>
  <si>
    <t>ст.379</t>
  </si>
  <si>
    <t>ст.378</t>
  </si>
  <si>
    <t>ст.377</t>
  </si>
  <si>
    <t>ст.376</t>
  </si>
  <si>
    <t>ст.375</t>
  </si>
  <si>
    <t>ст.374</t>
  </si>
  <si>
    <t>Глава 46</t>
  </si>
  <si>
    <t>ст.373</t>
  </si>
  <si>
    <t>ст.372</t>
  </si>
  <si>
    <t>ст.371</t>
  </si>
  <si>
    <t>ст.370</t>
  </si>
  <si>
    <t>ст.369</t>
  </si>
  <si>
    <t>ст.368</t>
  </si>
  <si>
    <t>Глава 45</t>
  </si>
  <si>
    <t>ст.367</t>
  </si>
  <si>
    <t>ст.366</t>
  </si>
  <si>
    <t>ст.365</t>
  </si>
  <si>
    <t>ст.364</t>
  </si>
  <si>
    <t>ст.363</t>
  </si>
  <si>
    <t>ст.362</t>
  </si>
  <si>
    <t>ст.361</t>
  </si>
  <si>
    <t>ст.360</t>
  </si>
  <si>
    <t>ст.359</t>
  </si>
  <si>
    <t>ст.358</t>
  </si>
  <si>
    <t>ст.357</t>
  </si>
  <si>
    <t>ст.356</t>
  </si>
  <si>
    <t>ст.355</t>
  </si>
  <si>
    <t>ст.354</t>
  </si>
  <si>
    <t>Глава 44</t>
  </si>
  <si>
    <t>ст.353</t>
  </si>
  <si>
    <t>ст.352</t>
  </si>
  <si>
    <t>ст.351</t>
  </si>
  <si>
    <t>ст.350</t>
  </si>
  <si>
    <t>ст.349</t>
  </si>
  <si>
    <t>Глава 43</t>
  </si>
  <si>
    <t>ст.348</t>
  </si>
  <si>
    <t>ст.347</t>
  </si>
  <si>
    <t>ст.346</t>
  </si>
  <si>
    <t>ст.345</t>
  </si>
  <si>
    <t>ст.344</t>
  </si>
  <si>
    <t>ст.343</t>
  </si>
  <si>
    <t>ст.342</t>
  </si>
  <si>
    <t>ст.341</t>
  </si>
  <si>
    <t>ст.340</t>
  </si>
  <si>
    <t>ст.339</t>
  </si>
  <si>
    <t>ст.338</t>
  </si>
  <si>
    <t>ст.337</t>
  </si>
  <si>
    <t>ст.336</t>
  </si>
  <si>
    <t>Глава 42</t>
  </si>
  <si>
    <t>ст.335</t>
  </si>
  <si>
    <t>ст.334</t>
  </si>
  <si>
    <t>ст.333</t>
  </si>
  <si>
    <t>ст.332</t>
  </si>
  <si>
    <t>ст.331</t>
  </si>
  <si>
    <t>ст.330</t>
  </si>
  <si>
    <t>ст.329</t>
  </si>
  <si>
    <t>ст.328</t>
  </si>
  <si>
    <t>ст.327</t>
  </si>
  <si>
    <t>ст.326</t>
  </si>
  <si>
    <t xml:space="preserve">ст.325 </t>
  </si>
  <si>
    <t>ст.324</t>
  </si>
  <si>
    <t>ст.323</t>
  </si>
  <si>
    <t>Глава 41</t>
  </si>
  <si>
    <t>Раздел IX</t>
  </si>
  <si>
    <t>ст.322</t>
  </si>
  <si>
    <t>ст.321</t>
  </si>
  <si>
    <t>ст.320</t>
  </si>
  <si>
    <t>ст.319</t>
  </si>
  <si>
    <t>Глава 40</t>
  </si>
  <si>
    <t>ст.318</t>
  </si>
  <si>
    <t>ст.317</t>
  </si>
  <si>
    <t>ст.316</t>
  </si>
  <si>
    <t>ст.315</t>
  </si>
  <si>
    <t>ст.314</t>
  </si>
  <si>
    <t>ст.313</t>
  </si>
  <si>
    <t>ст.312</t>
  </si>
  <si>
    <t>ст.311</t>
  </si>
  <si>
    <t>Глава 39</t>
  </si>
  <si>
    <t>ст.310</t>
  </si>
  <si>
    <t>ст.309</t>
  </si>
  <si>
    <t>ст.308</t>
  </si>
  <si>
    <t>ст.307</t>
  </si>
  <si>
    <t>ст.306</t>
  </si>
  <si>
    <t>ст.305</t>
  </si>
  <si>
    <t>ст.304</t>
  </si>
  <si>
    <t>ст.303</t>
  </si>
  <si>
    <t>ст.302</t>
  </si>
  <si>
    <t>ст.301</t>
  </si>
  <si>
    <t>ст.300</t>
  </si>
  <si>
    <t>ст.299</t>
  </si>
  <si>
    <t>ст.298</t>
  </si>
  <si>
    <t>Глава 38</t>
  </si>
  <si>
    <t>ст.297</t>
  </si>
  <si>
    <t>ст.296</t>
  </si>
  <si>
    <t>ст.295</t>
  </si>
  <si>
    <t>ст.294</t>
  </si>
  <si>
    <t>ст.293</t>
  </si>
  <si>
    <t>ст.292</t>
  </si>
  <si>
    <t>Глава 37</t>
  </si>
  <si>
    <t>ст.291</t>
  </si>
  <si>
    <t>ст.290</t>
  </si>
  <si>
    <t>ст.289</t>
  </si>
  <si>
    <t>ст.288</t>
  </si>
  <si>
    <t>ст.287</t>
  </si>
  <si>
    <t>ст.286</t>
  </si>
  <si>
    <t>ст.285</t>
  </si>
  <si>
    <t>ст.284</t>
  </si>
  <si>
    <t>ст.283</t>
  </si>
  <si>
    <t>ст.282</t>
  </si>
  <si>
    <t>Глава 36</t>
  </si>
  <si>
    <t>ст.281</t>
  </si>
  <si>
    <t>ст.280</t>
  </si>
  <si>
    <t>ст.279</t>
  </si>
  <si>
    <t>ст.278</t>
  </si>
  <si>
    <t>Глава 35</t>
  </si>
  <si>
    <t>ст.277</t>
  </si>
  <si>
    <t>ст.276</t>
  </si>
  <si>
    <t>ст.275</t>
  </si>
  <si>
    <t>ст.274</t>
  </si>
  <si>
    <t>ст.273</t>
  </si>
  <si>
    <t>ст.272</t>
  </si>
  <si>
    <t>Глава 34</t>
  </si>
  <si>
    <t>ст.271</t>
  </si>
  <si>
    <t>ст.270</t>
  </si>
  <si>
    <t>ст.269</t>
  </si>
  <si>
    <t>ст.268</t>
  </si>
  <si>
    <t>ст.267</t>
  </si>
  <si>
    <t>ст.266</t>
  </si>
  <si>
    <t>ст.265</t>
  </si>
  <si>
    <t>ст.264</t>
  </si>
  <si>
    <t>ст.263</t>
  </si>
  <si>
    <t>ст.262</t>
  </si>
  <si>
    <t>ст.261</t>
  </si>
  <si>
    <t>ст.260</t>
  </si>
  <si>
    <t>ст.259</t>
  </si>
  <si>
    <t>ст.258</t>
  </si>
  <si>
    <t>ст.257</t>
  </si>
  <si>
    <t>ст.256</t>
  </si>
  <si>
    <t>ст.255</t>
  </si>
  <si>
    <t>ст.254</t>
  </si>
  <si>
    <t>ст.253</t>
  </si>
  <si>
    <t>ст.252</t>
  </si>
  <si>
    <t>Глава 33</t>
  </si>
  <si>
    <t>Раздел VIII</t>
  </si>
  <si>
    <t>ст.251</t>
  </si>
  <si>
    <t>ст.250</t>
  </si>
  <si>
    <t>ст.249</t>
  </si>
  <si>
    <t>ст.248</t>
  </si>
  <si>
    <t>ст.247</t>
  </si>
  <si>
    <t>ст.246</t>
  </si>
  <si>
    <t>ст.245</t>
  </si>
  <si>
    <t>Глава 32</t>
  </si>
  <si>
    <t>ст.244</t>
  </si>
  <si>
    <t>ст.243</t>
  </si>
  <si>
    <t>ст.242</t>
  </si>
  <si>
    <t>ст.241</t>
  </si>
  <si>
    <t>ст.240</t>
  </si>
  <si>
    <t>ст.239</t>
  </si>
  <si>
    <t>ст.238</t>
  </si>
  <si>
    <t>Глава 31</t>
  </si>
  <si>
    <t>ст.237</t>
  </si>
  <si>
    <t>ст.236</t>
  </si>
  <si>
    <t>ст.235</t>
  </si>
  <si>
    <t>ст.234</t>
  </si>
  <si>
    <t>ст.233</t>
  </si>
  <si>
    <t>ст.232</t>
  </si>
  <si>
    <t>Глава 30</t>
  </si>
  <si>
    <t>ст.231</t>
  </si>
  <si>
    <t>ст.230</t>
  </si>
  <si>
    <t>ст.229</t>
  </si>
  <si>
    <t>ст.228</t>
  </si>
  <si>
    <t>ст.227</t>
  </si>
  <si>
    <t>ст.226</t>
  </si>
  <si>
    <t>ст.225</t>
  </si>
  <si>
    <t>ст.224</t>
  </si>
  <si>
    <t>ст.223</t>
  </si>
  <si>
    <t>ст.222</t>
  </si>
  <si>
    <t>ст.221</t>
  </si>
  <si>
    <t>ст.220</t>
  </si>
  <si>
    <t>ст.219</t>
  </si>
  <si>
    <t>ст.218</t>
  </si>
  <si>
    <t>Глава 29</t>
  </si>
  <si>
    <t>ст.217</t>
  </si>
  <si>
    <t>ст.216</t>
  </si>
  <si>
    <t>ст.215</t>
  </si>
  <si>
    <t>ст.214</t>
  </si>
  <si>
    <t>ст.213</t>
  </si>
  <si>
    <t>ст.212</t>
  </si>
  <si>
    <t>ст.211</t>
  </si>
  <si>
    <t>ст.210</t>
  </si>
  <si>
    <t>ст.209</t>
  </si>
  <si>
    <t>ст.208</t>
  </si>
  <si>
    <t>ст.207</t>
  </si>
  <si>
    <t>ст.206</t>
  </si>
  <si>
    <t>ст.205</t>
  </si>
  <si>
    <t>Глава 28</t>
  </si>
  <si>
    <t>Раздел VII</t>
  </si>
  <si>
    <t>ст.204</t>
  </si>
  <si>
    <t>ст.203</t>
  </si>
  <si>
    <t>ст.202</t>
  </si>
  <si>
    <t>ст.201</t>
  </si>
  <si>
    <t>ст.200</t>
  </si>
  <si>
    <t>ст.199</t>
  </si>
  <si>
    <t>ст.198</t>
  </si>
  <si>
    <t>ст.197</t>
  </si>
  <si>
    <t>ст.196</t>
  </si>
  <si>
    <t>ст.195</t>
  </si>
  <si>
    <t>ст.194</t>
  </si>
  <si>
    <t>ст.193</t>
  </si>
  <si>
    <t>ст.192</t>
  </si>
  <si>
    <t>ст.191</t>
  </si>
  <si>
    <t>ст.190</t>
  </si>
  <si>
    <t>ст.189</t>
  </si>
  <si>
    <t>Глава 27</t>
  </si>
  <si>
    <t>ст.188</t>
  </si>
  <si>
    <t>ст.187</t>
  </si>
  <si>
    <t>ст.186</t>
  </si>
  <si>
    <t>ст.185</t>
  </si>
  <si>
    <t>ст.184</t>
  </si>
  <si>
    <t>ст.183</t>
  </si>
  <si>
    <t>ст.182</t>
  </si>
  <si>
    <t>ст.181</t>
  </si>
  <si>
    <t>ст.180</t>
  </si>
  <si>
    <t>ст.179</t>
  </si>
  <si>
    <t>ст.178</t>
  </si>
  <si>
    <t>ст.177</t>
  </si>
  <si>
    <t>ст.176</t>
  </si>
  <si>
    <t>ст.175</t>
  </si>
  <si>
    <t>ст.174</t>
  </si>
  <si>
    <t>ст.173</t>
  </si>
  <si>
    <t>ст.172</t>
  </si>
  <si>
    <t>Глава 26</t>
  </si>
  <si>
    <t>ст.171</t>
  </si>
  <si>
    <t>ст.170</t>
  </si>
  <si>
    <t>ст.169</t>
  </si>
  <si>
    <t>ст.168</t>
  </si>
  <si>
    <t>ст.167</t>
  </si>
  <si>
    <t>ст.166</t>
  </si>
  <si>
    <t>ст.165</t>
  </si>
  <si>
    <t>Глава 25</t>
  </si>
  <si>
    <t>ст.164</t>
  </si>
  <si>
    <t>ст.163</t>
  </si>
  <si>
    <t>ст.162</t>
  </si>
  <si>
    <t>ст.161</t>
  </si>
  <si>
    <t>ст.160</t>
  </si>
  <si>
    <t>ст.159</t>
  </si>
  <si>
    <t>ст.158</t>
  </si>
  <si>
    <t>ст.157</t>
  </si>
  <si>
    <t>Глава 24</t>
  </si>
  <si>
    <t>ст.156</t>
  </si>
  <si>
    <t>ст.155</t>
  </si>
  <si>
    <t>ст.154</t>
  </si>
  <si>
    <t xml:space="preserve">Глава 23 </t>
  </si>
  <si>
    <t>ст.153</t>
  </si>
  <si>
    <t>ст.152</t>
  </si>
  <si>
    <t>ст.151</t>
  </si>
  <si>
    <t>ст.150</t>
  </si>
  <si>
    <t>ст.149</t>
  </si>
  <si>
    <t>ст.148</t>
  </si>
  <si>
    <t>ст.147</t>
  </si>
  <si>
    <t>ст.146</t>
  </si>
  <si>
    <t xml:space="preserve">Глава 22 </t>
  </si>
  <si>
    <t>ст.145</t>
  </si>
  <si>
    <t>ст.144</t>
  </si>
  <si>
    <t>ст.143</t>
  </si>
  <si>
    <t>ст.142</t>
  </si>
  <si>
    <t>ст.141</t>
  </si>
  <si>
    <t>ст.140</t>
  </si>
  <si>
    <t>Глава 21</t>
  </si>
  <si>
    <t>ст.139</t>
  </si>
  <si>
    <t>ст.138</t>
  </si>
  <si>
    <t>ст.137</t>
  </si>
  <si>
    <t>ст.136</t>
  </si>
  <si>
    <t>ст.135</t>
  </si>
  <si>
    <t>ст.134</t>
  </si>
  <si>
    <t>ст.133</t>
  </si>
  <si>
    <t>ст.132</t>
  </si>
  <si>
    <t>ст.131</t>
  </si>
  <si>
    <t>ст.130</t>
  </si>
  <si>
    <t>Глава 20</t>
  </si>
  <si>
    <t>ст.129</t>
  </si>
  <si>
    <t>ст.128</t>
  </si>
  <si>
    <t>ст.127</t>
  </si>
  <si>
    <t>ст.126</t>
  </si>
  <si>
    <t>ст.125</t>
  </si>
  <si>
    <t>ст.124</t>
  </si>
  <si>
    <t>ст.123</t>
  </si>
  <si>
    <t>ст.122</t>
  </si>
  <si>
    <t>Глава 19</t>
  </si>
  <si>
    <t>Раздел VI</t>
  </si>
  <si>
    <t xml:space="preserve">Телефон: 32-4652, 66-4042, факс: 66-0138, 62-5671, e-mail: nsc_mail@stat.kg, Веб-сайт Нацстаткома-www.stat.kg </t>
  </si>
  <si>
    <t>Статистикалык отчеттуулукту кабыл алуучу статистикалык  органдын координаттары;                    
Координаты статистического органа, принимающего статистическую отчетность:</t>
  </si>
  <si>
    <t>колу (подпись)</t>
  </si>
  <si>
    <t xml:space="preserve">фамилиясы, аты, атасынын аты  (ФИО)                                               </t>
  </si>
  <si>
    <t>Руководитель</t>
  </si>
  <si>
    <t>Жетекчи</t>
  </si>
  <si>
    <t>аткаруучунун аты-жөнү, телефон № (фамилия и № телефона исполнителя)</t>
  </si>
  <si>
    <t>ГКЭД</t>
  </si>
  <si>
    <t>Экономикалык ишмердиктин иш жүзүндөгү түрү (негизги) 
Фактический вид экономической деятельности (основной)</t>
  </si>
  <si>
    <t>Дареги (почта индекси, көчөсү, үй №)                  Телефон             E-mail  (электрондук почта     электронная почта)
Адрес (почтовый индекс, улица, № дома)</t>
  </si>
  <si>
    <t>Аймагы (облусу, району, шаары, калктуу пункту)
Территория (область, район, город, нас. пункт)</t>
  </si>
  <si>
    <r>
      <t xml:space="preserve">СОАТЕ </t>
    </r>
    <r>
      <rPr>
        <sz val="9"/>
        <rFont val="Arial"/>
        <family val="2"/>
        <charset val="204"/>
      </rPr>
      <t xml:space="preserve"> (статистикалык орган тарабынан толтурулат) (заполняется статистическим органом)</t>
    </r>
  </si>
  <si>
    <t>Ишкана, уюмдун аталышы            
Наименование предприятия, организации</t>
  </si>
  <si>
    <t>ОКПО</t>
  </si>
  <si>
    <t xml:space="preserve">ОТЧЕТ О СЛЕДСТВЕННОЙ РАБОТЕ    </t>
  </si>
  <si>
    <t xml:space="preserve">    </t>
  </si>
  <si>
    <t>ГОДОВАЯ, ПОЛУГОДОВАЯ</t>
  </si>
  <si>
    <t>ЖЫЛДЫК, ЖАРЫМ ЖЫЛДЫК</t>
  </si>
  <si>
    <t xml:space="preserve"> ГКУД</t>
  </si>
  <si>
    <t>ФОРМА №-1-Е</t>
  </si>
  <si>
    <t>№ 1-Е — ФОРМАСЫ</t>
  </si>
  <si>
    <t>Нарушение порядка, сроков представления информации, ее искажение и несоблюдение конфиденциальности влечет ответственность, установленную законодательством Кыргызской Республики</t>
  </si>
  <si>
    <t>Маалыматтарды берүү тартибин, мөөнөтүн бузуу, аны бурмалап берүү, жашыруундуулугун сактабагандыгы Кыргыз Республикасынын мыйзамдарында бекитилген жоопкерчиликти тартууга алып келет</t>
  </si>
  <si>
    <t>СТАТИСТИЧЕСКАЯ ОТЧЕТНОСТЬ</t>
  </si>
  <si>
    <t>СТАТИСТИКАЛЫК ОТЧЕТТУУЛУК</t>
  </si>
  <si>
    <t>ЗАРЕГ. (дел)</t>
  </si>
  <si>
    <t>В СУД (дел)</t>
  </si>
  <si>
    <t>ПРЕКРАЩ. (дел)</t>
  </si>
  <si>
    <t>№</t>
  </si>
  <si>
    <t>Р.</t>
  </si>
  <si>
    <t>ГСИН</t>
  </si>
  <si>
    <t>МВД</t>
  </si>
  <si>
    <t xml:space="preserve">Сроки следствия по делам (без повт. оконч.) </t>
  </si>
  <si>
    <t>Основания прекращения дел (без повт. прекр.)</t>
  </si>
  <si>
    <t>Приостановленные дела</t>
  </si>
  <si>
    <t>Задержание лиц, подозреваемых в совершении преступления</t>
  </si>
  <si>
    <t>Оправдание лиц</t>
  </si>
  <si>
    <t>Работа следственного аппарата</t>
  </si>
  <si>
    <t>Материалы, по кот.приняты реш. об отказе в ВУД</t>
  </si>
  <si>
    <t>р. 2.</t>
  </si>
  <si>
    <t>т. 2.1.</t>
  </si>
  <si>
    <t>т. 2.2.</t>
  </si>
  <si>
    <t>т. 2.3.</t>
  </si>
  <si>
    <t>т. 2.4.</t>
  </si>
  <si>
    <t>т. 2.5.</t>
  </si>
  <si>
    <t>т. 2.6.</t>
  </si>
  <si>
    <t>т. 2.7.</t>
  </si>
  <si>
    <t>т. 2.8.</t>
  </si>
  <si>
    <t>т. 2.9</t>
  </si>
  <si>
    <t>Г.</t>
  </si>
  <si>
    <t>в том числе в лицах</t>
  </si>
  <si>
    <t>в том числе дела отчетного периода</t>
  </si>
  <si>
    <t>в том числе дела прошлых лет</t>
  </si>
  <si>
    <t>Оправдано из числа проступков (для сведения)</t>
  </si>
  <si>
    <t>Проверка</t>
  </si>
  <si>
    <t>Количество материалов, принятых из других органов</t>
  </si>
  <si>
    <t>из них повторно отказано</t>
  </si>
  <si>
    <t>из них возбуждено следователем из числа отказанных</t>
  </si>
  <si>
    <t>Комментарии</t>
  </si>
  <si>
    <t>Всего отменено прокурорами постановлений о прекращ. уг. дела</t>
  </si>
  <si>
    <t>Обеспечение возмещения ущерба</t>
  </si>
  <si>
    <t>Всего отменено прокурором постан. о приостан. уголовного дела</t>
  </si>
  <si>
    <t>в отношении лица, о котором имеется вступ. в зак. силу приговор суда... (п.5)</t>
  </si>
  <si>
    <t>в отношении лица, о котором имеется неотм. постан. следователя... (п.6)</t>
  </si>
  <si>
    <t xml:space="preserve">в отношении умершего к моменту осуществления уг. судопроизводства... (п.7) </t>
  </si>
  <si>
    <t>в отношении лица, добров. отказ-гося от доведения преступления до конца (п.8)</t>
  </si>
  <si>
    <t>из них в лицах (п.9)</t>
  </si>
  <si>
    <t>вследствие акта амнистии... (п.11) - в делах</t>
  </si>
  <si>
    <t>из них в лицах (п.11)</t>
  </si>
  <si>
    <t>из них в лицах (п.12)</t>
  </si>
  <si>
    <t>из них в лицах (п.13)</t>
  </si>
  <si>
    <t>при отказе прокурора во время судебного разб... (п.14)</t>
  </si>
  <si>
    <t>в отн. обвин. ребенка в связи с его выведением из системы правосудия... (ч.2)</t>
  </si>
  <si>
    <t>Рез-ты рассл.дел, возвращ. для ВПС, а также прин. из числа оправдан.судом</t>
  </si>
  <si>
    <t>в отн. лица, подлеж. освоб. от уг. отв. в силу положений Ос. части УК (п.9)</t>
  </si>
  <si>
    <t>вследствие акта амнистии... (п.11)</t>
  </si>
  <si>
    <t>в связи с примирением сторон (п.13)</t>
  </si>
  <si>
    <t xml:space="preserve">По ранее действ. УК </t>
  </si>
  <si>
    <t>Из них задержано в порядке ст.96 УПК</t>
  </si>
  <si>
    <t>из них заключение под стражу</t>
  </si>
  <si>
    <t>из них домашний арест</t>
  </si>
  <si>
    <t>из них залог</t>
  </si>
  <si>
    <t>отказано прокурором в избрании м/п в виде закл.под стражу</t>
  </si>
  <si>
    <t>отказано прокурором в избрании м/п в виде дом.ареста</t>
  </si>
  <si>
    <t>Всего избрано мер пресечения (в т.ч. задерж.в пор.96 УПК)</t>
  </si>
  <si>
    <t>орган</t>
  </si>
  <si>
    <t>шифр</t>
  </si>
  <si>
    <t>ГСУ МВД</t>
  </si>
  <si>
    <t>050</t>
  </si>
  <si>
    <t>'095</t>
  </si>
  <si>
    <t>'051</t>
  </si>
  <si>
    <t>'041</t>
  </si>
  <si>
    <t>'086</t>
  </si>
  <si>
    <t>'072</t>
  </si>
  <si>
    <t>'054</t>
  </si>
  <si>
    <t>'052</t>
  </si>
  <si>
    <t>'070</t>
  </si>
  <si>
    <t>'073</t>
  </si>
  <si>
    <t>'053</t>
  </si>
  <si>
    <t>'081</t>
  </si>
  <si>
    <t>'056</t>
  </si>
  <si>
    <t>'057</t>
  </si>
  <si>
    <t>'078</t>
  </si>
  <si>
    <t>'001</t>
  </si>
  <si>
    <t>'055</t>
  </si>
  <si>
    <t>'002</t>
  </si>
  <si>
    <t>'003</t>
  </si>
  <si>
    <t>'031</t>
  </si>
  <si>
    <t>'048</t>
  </si>
  <si>
    <t>'038</t>
  </si>
  <si>
    <t>'093</t>
  </si>
  <si>
    <t>'044</t>
  </si>
  <si>
    <t>'036</t>
  </si>
  <si>
    <t>'032</t>
  </si>
  <si>
    <t>'065</t>
  </si>
  <si>
    <t>'033</t>
  </si>
  <si>
    <t>'028</t>
  </si>
  <si>
    <t>'066</t>
  </si>
  <si>
    <t>'037</t>
  </si>
  <si>
    <t>'043</t>
  </si>
  <si>
    <t>'025</t>
  </si>
  <si>
    <t>'046</t>
  </si>
  <si>
    <t>'069</t>
  </si>
  <si>
    <t>'039</t>
  </si>
  <si>
    <t>'045</t>
  </si>
  <si>
    <t>'016</t>
  </si>
  <si>
    <t>'017</t>
  </si>
  <si>
    <t>'059</t>
  </si>
  <si>
    <t>'014</t>
  </si>
  <si>
    <t>'015</t>
  </si>
  <si>
    <t>'018</t>
  </si>
  <si>
    <t>'019</t>
  </si>
  <si>
    <t>'060</t>
  </si>
  <si>
    <t>'021</t>
  </si>
  <si>
    <t>'022</t>
  </si>
  <si>
    <t>'023</t>
  </si>
  <si>
    <t>'024</t>
  </si>
  <si>
    <t>'026</t>
  </si>
  <si>
    <t>'029</t>
  </si>
  <si>
    <t>'030</t>
  </si>
  <si>
    <t>'042</t>
  </si>
  <si>
    <t>'034</t>
  </si>
  <si>
    <t>'040</t>
  </si>
  <si>
    <t>'047</t>
  </si>
  <si>
    <t>'076</t>
  </si>
  <si>
    <t>'068</t>
  </si>
  <si>
    <t>'064</t>
  </si>
  <si>
    <t>'007</t>
  </si>
  <si>
    <t>'067</t>
  </si>
  <si>
    <t>'010</t>
  </si>
  <si>
    <t>'011</t>
  </si>
  <si>
    <t>'058</t>
  </si>
  <si>
    <t>'004</t>
  </si>
  <si>
    <t>'006</t>
  </si>
  <si>
    <t>'008</t>
  </si>
  <si>
    <t>'063</t>
  </si>
  <si>
    <t>'009</t>
  </si>
  <si>
    <t>'012</t>
  </si>
  <si>
    <t>'005</t>
  </si>
  <si>
    <t>'091</t>
  </si>
  <si>
    <t>'092</t>
  </si>
  <si>
    <t>РЕЗЕРВ</t>
  </si>
  <si>
    <t>ПРОКУРАТУРА Г. БИШКЕК</t>
  </si>
  <si>
    <t>ПРОКУРАТУРА Г. ОШ</t>
  </si>
  <si>
    <t>ПРОКУРАТУРА ЧУЙСКОЙ ОБЛАСТИ</t>
  </si>
  <si>
    <t>ПРОКУРАТУРА ОШСКОЙ ОБЛАСТИ</t>
  </si>
  <si>
    <t>ПРОКУРАТУРА ИССЫК-КУЛЬСКОЙ ОБЛАСТИ</t>
  </si>
  <si>
    <t>ПРОКУРАТУРА НАРЫНСКОЙ ОБЛАСТИ</t>
  </si>
  <si>
    <t>ПРОКУРАТУРА ДЖАЛАЛ-АБАДСКОЙ ОБЛАСТИ</t>
  </si>
  <si>
    <t>ПРОКУРАТУРА ТАЛАССКОЙ ОБЛАСТИ</t>
  </si>
  <si>
    <t>ПРОКУРАТУРА БАТКЕНСКОЙ ОБЛАСТИ</t>
  </si>
  <si>
    <t>ПРОКУРАТУРА ПЕРВОМАЙСКОГО РАЙОНА</t>
  </si>
  <si>
    <t>ПРОКУРАТУРА ЛЕНИНСКОГО РАЙОНА</t>
  </si>
  <si>
    <t>ПРОКУРАТУРА СВЕРДЛОВСКОГО РАЙОНА</t>
  </si>
  <si>
    <t>ПРОКУРАТУРА ОКТЯБРЬСКОГО РАЙОНА</t>
  </si>
  <si>
    <t>ПРОКУРАТУРА Г. ТОКМОК</t>
  </si>
  <si>
    <t>ПРОКУРАТУРА ЧУЙСКОГО РАЙОНА</t>
  </si>
  <si>
    <t>ПРОКУРАТУРА ЫССЫК-АТИНСКОГО РАЙОНА</t>
  </si>
  <si>
    <t>ПРОКУРАТУРА АЛАМУДУНСКОГО РАЙОНА</t>
  </si>
  <si>
    <t>ПРОКУРАТУРА СОКУЛУКСКОГО РАЙОНА</t>
  </si>
  <si>
    <t>ПРОКУРАТУРА МОСКОВСКОГО РАЙОНА</t>
  </si>
  <si>
    <t>ПРОКУРАТУРА ЖАЙЫЛСКОГО РАЙОНА</t>
  </si>
  <si>
    <t>ПРОКУРАТУРА ПАФИЛОВСКОГО РАЙОНА</t>
  </si>
  <si>
    <t>ПРОКУРАТУРА КЕМИНСКОГО РАЙОНА</t>
  </si>
  <si>
    <t>ПРОКУРАТУРА АЛАЙСКОГО РАЙОНА</t>
  </si>
  <si>
    <t>ПРОКУРАТУРА АРАВАНСКОГО РАЙОНА</t>
  </si>
  <si>
    <t>ПРОКУРАТУРА КАРА-КУЛЖИНСКОГО РАЙОНА</t>
  </si>
  <si>
    <t>ПРОКУРАТУРА КАРА-СУУЙСКОГО РАЙОНА</t>
  </si>
  <si>
    <t>ПРОКУРАТУРА НООКАТСКОГО РАЙОНА</t>
  </si>
  <si>
    <t>ПРОКУРАТУРА УЗГЕНСКОГО РАЙОНА</t>
  </si>
  <si>
    <t>ПРОКУРАТУРА ЧОН-АЛАЙСКОГО РАЙОНА</t>
  </si>
  <si>
    <t>ПРОКУРАТУРА Г. КАРАКОЛ</t>
  </si>
  <si>
    <t>ПРОКУРАТУРА Г. БАЛЫКЧЫ</t>
  </si>
  <si>
    <t>ПРОКУРАТУРА АК-СУЙСКОГО РАЙОНА</t>
  </si>
  <si>
    <t>ПРОКУРАТУРА ЖЕТИ-ОГУЗСКОГО РАЙОНА</t>
  </si>
  <si>
    <t>ПРОКУРАТУРА ИССЫК-КУЛЬСКОГО РАЙОНА</t>
  </si>
  <si>
    <t>ПРОКУРАТУРА ТОНСКОГО РАЙОНА</t>
  </si>
  <si>
    <t>ПРОКУРАТУРА ТЮПСКОГО РАЙОНА</t>
  </si>
  <si>
    <t>ПРОКУРАТУРА Г. НАРЫН</t>
  </si>
  <si>
    <t>ПРОКУРАТУРА АК-ТАЛИНСКОГО РАЙОНА</t>
  </si>
  <si>
    <t>ПРОКУРАТУРА АТ-БАШИНСКОГО РАЙОНА</t>
  </si>
  <si>
    <t>ПРОКУРАТУРА ЖУМГАЛЬСКОГО РАЙОНА</t>
  </si>
  <si>
    <t>ПРОКУРАТУРА КОЧКОРСКОГО РАЙОНА</t>
  </si>
  <si>
    <t>ПРОКУРАТУРА НАРЫНСКОГО РАЙОНА</t>
  </si>
  <si>
    <t>ПРОКУРАТУРА Г. ДЖАЛАЛ-АБАД</t>
  </si>
  <si>
    <t>ПРОКУРАТУРА АКСЫЙСКОГО РАЙОНА</t>
  </si>
  <si>
    <t>ПРОКУРАТУРА АЛА-БУКИНСКОГО РАЙОНА</t>
  </si>
  <si>
    <t>ПРОКУРАТУРА БАЗАР-КОРГОНСКОГО РАЙОНА</t>
  </si>
  <si>
    <t>ПРОКУРАТУРА НООКЕНСКОГО РАЙОНА</t>
  </si>
  <si>
    <t>ПРОКУРАТУРА СУЗАКСКОГО РАЙОНА</t>
  </si>
  <si>
    <t>ПРОКУРАТУРА ТОГУЗ-ТОРОУСКОГО РАЙОНА</t>
  </si>
  <si>
    <t>ПРОКУРАТУРА ТОКТОГУЛЬСКОГО РАЙОНА</t>
  </si>
  <si>
    <t>ПРОКУРАТУРА ЧАТКАЛЬСКОГО РАЙОНА</t>
  </si>
  <si>
    <t>ПРОКУРАТУРА Г. КАРА-КУЛЬ</t>
  </si>
  <si>
    <t>ПРОКУРАТУРА Г. МАЙЛУУ-СУУ</t>
  </si>
  <si>
    <t>ПРОКУРАТУРА Г. ТАШ-КУМЫР</t>
  </si>
  <si>
    <t>ПРОКУРАТУРА Г. ТАЛАС</t>
  </si>
  <si>
    <t>ПРОКУРАТУРА БАКАЙ-АТИНСКОГО РАЙОНА</t>
  </si>
  <si>
    <t>ПРОКУРАТУРА КАРА-БУУРИНСКОГО РАЙОНА</t>
  </si>
  <si>
    <t>ПРОКУРАТУРА МАНАССКОГО РАЙОНА</t>
  </si>
  <si>
    <t>ПРОКУРАТУРА ТАЛАССКОГО РАЙОНА</t>
  </si>
  <si>
    <t>ПРОКУРАТУРА Г. СУЛЮКТА</t>
  </si>
  <si>
    <t>ПРОКУРАТУРА Г. КЫЗЫЛ-КИЯ</t>
  </si>
  <si>
    <t>ПРОКУРАТУРА БАТКЕНСКОГО РАЙОНА</t>
  </si>
  <si>
    <t>ПРОКУРАТУРА КАДАМЖАЙСКОГО РАЙОНА</t>
  </si>
  <si>
    <t>ПРОКУРАТУРА ЛЕЙЛЕКСКОГО РАЙОНА</t>
  </si>
  <si>
    <t>ТРАНСПОРТНАЯ ПРОКУРАТУРА</t>
  </si>
  <si>
    <t>ВОЕННАЯ ПРОКУРАТУРА ЦЕНТРАЛЬНОГО АППАРАТА</t>
  </si>
  <si>
    <t>ВОЕННАЯ ПРОКУРАТУРА БИШКЕКСКОГО ГАРНИЗОНА</t>
  </si>
  <si>
    <t>ВОЕННАЯ ПРОКУРАТУРА ОШСКОГО ГАРНИЗОНА</t>
  </si>
  <si>
    <t>ВОЕННАЯ ПРОКУРАТУРА БАТКЕНСКОГО ГАРНИЗОНА</t>
  </si>
  <si>
    <t>ВОЕННАЯ ПРОКУРАТУРА БАЛЫКЧИНСКОГО ГАРНИЗОНА</t>
  </si>
  <si>
    <t>ВОЕННАЯ ПРОКУРАТУРА ЖАЛАЛ-АБАДСКОГО ГАРНИЗОНА</t>
  </si>
  <si>
    <t>ГСУ МВД (ПО ЮЖНОМУ РЕГИОНУ)</t>
  </si>
  <si>
    <t>ГУВД Г.БИШКЕК</t>
  </si>
  <si>
    <t>УВД Г.ОШ</t>
  </si>
  <si>
    <t>УВД БАТКЕНСКОЙ ОБЛАСТИ</t>
  </si>
  <si>
    <t>УВД ДЖАЛАЛ-АБАДСКОЙ ОБЛАСТИ</t>
  </si>
  <si>
    <t>УВД НАРЫНСКОЙ ОБЛАСТИ</t>
  </si>
  <si>
    <t>УВД ОШСКОЙ ОБЛАСТИ</t>
  </si>
  <si>
    <t>УВД ТАЛАССКОЙ ОБЛАСТИ</t>
  </si>
  <si>
    <t>ГУВД ЧУЙСКОЙ ОБЛАСТИ</t>
  </si>
  <si>
    <t>УВД ИССЫК-КУЛЬСКОЙ ОБЛАСТИ</t>
  </si>
  <si>
    <t>УВДТ (НА ЖДТ)</t>
  </si>
  <si>
    <t>ОВД НА ВТ (АЭРОПОРТ МАНАС)</t>
  </si>
  <si>
    <t>ОВДТ ПО ОШСКОЙ ОБЛАСТИ</t>
  </si>
  <si>
    <t>ОВДТ ПО ЖАЛАЛ-АБАДСКОЙ ОБЛАСТИ</t>
  </si>
  <si>
    <t>РУВД ЛЕНИНСКОГО РАЙОНА</t>
  </si>
  <si>
    <t>РУВД ОКТЯБРЬСКОГО РАЙОНА</t>
  </si>
  <si>
    <t>РУВД ПЕРВОМАЙСКОГО РАЙОНА</t>
  </si>
  <si>
    <t>РУВД СВЕРДЛОВСКОГО РАЙОНА</t>
  </si>
  <si>
    <t>РОВД БАТКЕНСКОГО РАЙОНА</t>
  </si>
  <si>
    <t>РОВД КАДАМЖАЙСКОГО РАЙОНА</t>
  </si>
  <si>
    <t>РОВД ЛЕЙЛЕКСКОГО РАЙОНА</t>
  </si>
  <si>
    <t>ГОВД Г.БАТКЕН</t>
  </si>
  <si>
    <t>ГОВД Г.СУЛЮКТА</t>
  </si>
  <si>
    <t>ГОВД Г.КЫЗЫЛ-КИЯ</t>
  </si>
  <si>
    <t>ГОВД Г.ЖАЛАЛ-АБАД</t>
  </si>
  <si>
    <t>ГОВД Г.КАРА-КУЛЬ</t>
  </si>
  <si>
    <t>РОВД АКСЫЙСКОГО РАЙОНА</t>
  </si>
  <si>
    <t>РОВД АЛА-БУКИНСКОГО РАЙОНА</t>
  </si>
  <si>
    <t>РОВД БАЗАР-КОРГОНСКОГО РАЙОНА</t>
  </si>
  <si>
    <t>РОВД НООКЕНСКОГО РАЙОНА</t>
  </si>
  <si>
    <t>РОВД СУЗАКСКОГО РАЙОНА</t>
  </si>
  <si>
    <t>РОВД ТОГУЗ-ТОРОУСКОГО РАЙОНА</t>
  </si>
  <si>
    <t>РОВД ТОКТОГУЛЬСКОГО РАЙОНА</t>
  </si>
  <si>
    <t>РОВД ЧАТКАЛЬСКОГО РАЙОНА</t>
  </si>
  <si>
    <t>ГОВД Г.МАЙЛУУ-СУУ</t>
  </si>
  <si>
    <t>ГОВД Г.ТАШ-КУМЫР</t>
  </si>
  <si>
    <t>ГОВД Г. КАРАКОЛ</t>
  </si>
  <si>
    <t>ГОВД Г.БАЛЫКЧЫ</t>
  </si>
  <si>
    <t>РОВД АК-СУЙСКОГО РАЙОНА</t>
  </si>
  <si>
    <t>РОВД ЖЕТИ-ОГУЗСКОГО РАЙОНА</t>
  </si>
  <si>
    <t>РОВД ИССЫК-КУЛЬСКОГО РАЙОНА</t>
  </si>
  <si>
    <t>РОВД ТОНСКОГО РАЙОНА</t>
  </si>
  <si>
    <t>РОВД ТЮПСКОГО РАЙОНА</t>
  </si>
  <si>
    <t>ГОВД Г.НАРЫН</t>
  </si>
  <si>
    <t>РОВД АК-ТАЛИНСКОГО РАЙОНА</t>
  </si>
  <si>
    <t>РОВД АТ-БАШИНСКОГО РАЙОНА</t>
  </si>
  <si>
    <t>РОВД ЖУМГАЛЬСКОГО РАЙОНА</t>
  </si>
  <si>
    <t>РОВД КОЧКОРСКОГО РАЙОНА</t>
  </si>
  <si>
    <t>РОВД НАРЫНСКОГО РАЙОНА</t>
  </si>
  <si>
    <t>РОВД АЛАЙСКОГО РАЙОНА</t>
  </si>
  <si>
    <t>РОВД АРАВАНСКОГО РАЙОНА</t>
  </si>
  <si>
    <t>РОВД КАРА-КУЛЖИНСКОГО РАЙОНА</t>
  </si>
  <si>
    <t>РОВД КАРА-СУУЙСКОГО РАЙОНА</t>
  </si>
  <si>
    <t>РОВД НООКАТСКОГО РАЙОНА</t>
  </si>
  <si>
    <t>РОВД УЗГЕНСКОГО РАЙОНА</t>
  </si>
  <si>
    <t>РОВД ЧОН-АЛАЙСКОГО РАЙОНА</t>
  </si>
  <si>
    <t>ГОВД Г.ТАЛАС</t>
  </si>
  <si>
    <t>РОВД БАКАЙ-АТИНСКОГО РАЙОНА</t>
  </si>
  <si>
    <t>РОВД КАРА-БУУРИНСКОГО РАЙОНА</t>
  </si>
  <si>
    <t>РОВД МАНАССКОГО РАЙОНА</t>
  </si>
  <si>
    <t>РОВД ТАЛАССКОГО РАЙОНА</t>
  </si>
  <si>
    <t>ГОВД Г.ТОКМОК</t>
  </si>
  <si>
    <t>РОВД АЛАМУДУНСКОГО РАЙОНА</t>
  </si>
  <si>
    <t>РОВД ЖАЙЫЛСКОГО РАЙОНА</t>
  </si>
  <si>
    <t>РОВД КЕМИНСКОГО РАЙОНА</t>
  </si>
  <si>
    <t>РОВД МОСКОВСКОГО РАЙОНА</t>
  </si>
  <si>
    <t>РОВД ПАНФИЛОВСКОГО РАЙОНА</t>
  </si>
  <si>
    <t>РОВД СОКУЛУКСКОГО РАЙОНА</t>
  </si>
  <si>
    <t>РОВД ЧУЙСКОГО РАЙОНА</t>
  </si>
  <si>
    <t>РОВД ЫСЫК-АТИНСКОГО РАЙОНА</t>
  </si>
  <si>
    <t>СУЛАЙМАН-ТОО (Г.ОШ)</t>
  </si>
  <si>
    <t>АК-БУУРА (Г.ОШ)</t>
  </si>
  <si>
    <t>ГКНБ КЫРГЫЗСКОЙ РЕСПУБЛИКИ</t>
  </si>
  <si>
    <t>ГУ ГКНБ ПО Г. БИШКЕК</t>
  </si>
  <si>
    <t>УГКНБ КР ПО Г.ОШ И ОШСКОЙ ОБЛАСТИ</t>
  </si>
  <si>
    <t>УГКНБ КР ПО ЖАЛАЛ-АБАДСКОЙ ОБЛАСТИ</t>
  </si>
  <si>
    <t>УГКНБ КР ПО БАТКЕНСКОЙ ОБЛАСТИ</t>
  </si>
  <si>
    <t>УГКНБ КР ПО ИССЫК-КУЛЬСКОЙ ОБЛАСТИ</t>
  </si>
  <si>
    <t>УГКНБ КР ПО ЧУЙСКОЙ ОБЛАСТИ</t>
  </si>
  <si>
    <t>УГКНБ КР ПО НАРЫНСКОЙ ОБЛАСТИ</t>
  </si>
  <si>
    <t>УГКНБ КР ПО ТАЛАССКОЙ ОБЛАСТИ</t>
  </si>
  <si>
    <t>ГСИН ПРИ ПКР</t>
  </si>
  <si>
    <t>ГТС ПРИ ПКР</t>
  </si>
  <si>
    <t>ГСБЭП ПРИ ПКР</t>
  </si>
  <si>
    <t>УГСБЭП Г.БИШКЕК</t>
  </si>
  <si>
    <t>УГСБЭП Г.ОШ</t>
  </si>
  <si>
    <t>УГСБЭП ЧУЙСКОЙ ОБЛАСТИ</t>
  </si>
  <si>
    <t>УГСБЭП НАРЫНСКОЙ ОБЛАСТИ</t>
  </si>
  <si>
    <t>УГСБЭП ИССЫК-КУЛЬСКОЙ ОБЛАСТИ</t>
  </si>
  <si>
    <t>УГСБЭП ТАЛАССКОЙ ОБЛАСТИ</t>
  </si>
  <si>
    <t>УГСБЭП ОШСКОЙ ОБЛАСТИ</t>
  </si>
  <si>
    <t>УГСБЭП ДЖАЛАЛ-АБАДСКОЙ ОБЛАСТИ</t>
  </si>
  <si>
    <t>УГСБЭП БАТКЕНСКОЙ ОБЛАСТИ</t>
  </si>
  <si>
    <t>СЕВЕРО-ВОСТОЧНАЯ ТАМОЖНЯ</t>
  </si>
  <si>
    <t>ЖДТ "СЕВЕРНАЯ"</t>
  </si>
  <si>
    <t>ТАМОЖНЯ "НАРЫН"</t>
  </si>
  <si>
    <t>ТАМОЖНАЯ "МАНАС"</t>
  </si>
  <si>
    <t>ЮГО-ЗАПАДНАЯ ТАМОЖНЯ</t>
  </si>
  <si>
    <t>ТАМОЖНЯ "БАТКЕН"</t>
  </si>
  <si>
    <t>ОПЕРАТИВНАЯ ТАМОЖНЯ Г.ОШ</t>
  </si>
  <si>
    <t>СПЕЦИАЛИЗИРОВАННАЯ ПРОКУРАТУРА</t>
  </si>
  <si>
    <t>ГЕНЕРАЛЬНАЯ ПРОКУРАТУРА КЫРГЫЗСКОЙ РЕСПУБЛИКИ</t>
  </si>
  <si>
    <t>Прокуратура</t>
  </si>
  <si>
    <t>Пр. ПРОК</t>
  </si>
  <si>
    <t>Пр. МВД</t>
  </si>
  <si>
    <t>Пр. ГКНБ</t>
  </si>
  <si>
    <t>Пр. ГСИН</t>
  </si>
  <si>
    <t>остаток приостановленных дел за все годы по п.1</t>
  </si>
  <si>
    <t>остаток приостановленных дел за все годы по п.2</t>
  </si>
  <si>
    <t>остаток приостановленных дел за все годы по п.3</t>
  </si>
  <si>
    <t>остаток приостановленных дел за все годы по п.4</t>
  </si>
  <si>
    <t>остаток приостановленных дел в текущем году по п.1</t>
  </si>
  <si>
    <t>остаток приостановленных дел в текущем году по п.2</t>
  </si>
  <si>
    <t>остаток приостановленных дел в текущем году по п.3</t>
  </si>
  <si>
    <t>остаток приостановленных дел в текущем году по п.4</t>
  </si>
  <si>
    <t>из числа присоединенных прекращено</t>
  </si>
  <si>
    <t>отказано след.судьей в избрании м/п в виде закл.под стражу</t>
  </si>
  <si>
    <t>отказано след.судьей в избрании м/п в виде дом.ареста</t>
  </si>
  <si>
    <t xml:space="preserve">Раздел 1. Оконч. дела по видам преступл. (без повторно оконченных) </t>
  </si>
  <si>
    <t>Из них дел о невмен. детях</t>
  </si>
  <si>
    <t>в т.ч. направленных в ЕРН или для рассм.в дисц.пор.</t>
  </si>
  <si>
    <t>из них детей</t>
  </si>
  <si>
    <t xml:space="preserve">из них детей </t>
  </si>
  <si>
    <t>в т.ч. соверш.детьми или при их соучастии</t>
  </si>
  <si>
    <t>из них совершенных детьми или при их соучастии</t>
  </si>
  <si>
    <t>из них совершенных детьми</t>
  </si>
  <si>
    <t xml:space="preserve">из них с участием детей </t>
  </si>
  <si>
    <t>из них с участием женщин</t>
  </si>
  <si>
    <t>передача ребенка под присмотр родителей…</t>
  </si>
  <si>
    <t>из них дел о преступлениях, совершенных детьми или при их соучастии</t>
  </si>
  <si>
    <t>за отсутствием события преступления (п.1)</t>
  </si>
  <si>
    <t>за отсутствием в деянии состава преступления (п.2)</t>
  </si>
  <si>
    <t>неустановления местонахождения обвиняемого (п.1)</t>
  </si>
  <si>
    <t>врем. психич. или иного тяж. заболевания подозр., обв… (п.2)</t>
  </si>
  <si>
    <t>неустановления лица, подлежащего привлечению в качестве обвиняемого (п.3)</t>
  </si>
  <si>
    <t>отсут. возможн. уч. лица в уг. деле… (п.4)</t>
  </si>
  <si>
    <t>освоб. лиц за не подтверждением подозрения в совершении преступления</t>
  </si>
  <si>
    <t>освоб.лиц за истеч. установленного законом срока задержания</t>
  </si>
  <si>
    <t>освоб.лиц по основ. произведения задержания с нарушением требований УПК</t>
  </si>
  <si>
    <t>Число лиц, о которых производ.прекращ. по реабилит.основаниям</t>
  </si>
  <si>
    <t>Кыргыз Республикасынын «Расмий статистика жөнүндө» мыйзамына ылайык 
Жашыруундулугуна кепилдик берилет</t>
  </si>
  <si>
    <t xml:space="preserve">в соответствии с Законом Кыргызской Республики 
«Об официальной статистике» 
Конфиденциальность гарантируется
</t>
  </si>
  <si>
    <t>ТЕРГӨӨ ИШТЕРИ БОЮНЧА ОТЧЕТ</t>
  </si>
  <si>
    <t>по делам о применен.принуд.мер медиц.характера (включая детей)</t>
  </si>
  <si>
    <t>Задержано на основании ход-ва об объявл. в розыск, санкц. судом</t>
  </si>
  <si>
    <t>Наложен арест на имущество в обеспечение ущерба на сумму</t>
  </si>
  <si>
    <t>в том числе материалов о государственной собственности</t>
  </si>
  <si>
    <r>
      <t>ЗАРЕГ. (дел)</t>
    </r>
    <r>
      <rPr>
        <sz val="12"/>
        <color theme="0"/>
        <rFont val="Times New Roman"/>
        <family val="1"/>
        <charset val="204"/>
      </rPr>
      <t xml:space="preserve"> 2</t>
    </r>
  </si>
  <si>
    <r>
      <t xml:space="preserve">В СУД (дел) </t>
    </r>
    <r>
      <rPr>
        <sz val="12"/>
        <color theme="0"/>
        <rFont val="Times New Roman"/>
        <family val="1"/>
        <charset val="204"/>
      </rPr>
      <t>2</t>
    </r>
  </si>
  <si>
    <r>
      <t xml:space="preserve">ПРЕКРАЩ. (дел) </t>
    </r>
    <r>
      <rPr>
        <sz val="12"/>
        <color theme="0"/>
        <rFont val="Times New Roman"/>
        <family val="1"/>
        <charset val="204"/>
      </rPr>
      <t>2</t>
    </r>
  </si>
  <si>
    <r>
      <t xml:space="preserve">ЗАРЕГ. (дел) </t>
    </r>
    <r>
      <rPr>
        <sz val="12"/>
        <color theme="0"/>
        <rFont val="Times New Roman"/>
        <family val="1"/>
        <charset val="204"/>
      </rPr>
      <t>3</t>
    </r>
  </si>
  <si>
    <r>
      <t xml:space="preserve">В СУД (дел) </t>
    </r>
    <r>
      <rPr>
        <sz val="12"/>
        <color theme="0"/>
        <rFont val="Times New Roman"/>
        <family val="1"/>
        <charset val="204"/>
      </rPr>
      <t>3</t>
    </r>
  </si>
  <si>
    <r>
      <t>ПРЕКРАЩ. (дел)</t>
    </r>
    <r>
      <rPr>
        <sz val="12"/>
        <color theme="0"/>
        <rFont val="Times New Roman"/>
        <family val="1"/>
        <charset val="204"/>
      </rPr>
      <t xml:space="preserve"> 3</t>
    </r>
  </si>
  <si>
    <r>
      <t xml:space="preserve">ЗАРЕГ. (дел) </t>
    </r>
    <r>
      <rPr>
        <sz val="12"/>
        <color theme="0"/>
        <rFont val="Times New Roman"/>
        <family val="1"/>
        <charset val="204"/>
      </rPr>
      <t>4</t>
    </r>
  </si>
  <si>
    <r>
      <t xml:space="preserve">В СУД (дел) </t>
    </r>
    <r>
      <rPr>
        <sz val="12"/>
        <color theme="0"/>
        <rFont val="Times New Roman"/>
        <family val="1"/>
        <charset val="204"/>
      </rPr>
      <t>4</t>
    </r>
  </si>
  <si>
    <r>
      <t xml:space="preserve">ПРЕКРАЩ. (дел) </t>
    </r>
    <r>
      <rPr>
        <sz val="12"/>
        <color theme="0"/>
        <rFont val="Times New Roman"/>
        <family val="1"/>
        <charset val="204"/>
      </rPr>
      <t>4</t>
    </r>
  </si>
  <si>
    <t>из них предъявлено обвинений (уведомлено о подозрении) другим органом</t>
  </si>
  <si>
    <t>Приостановлено дел производством (с нарастающим итогом) по основ.:</t>
  </si>
  <si>
    <r>
      <t xml:space="preserve">из них прекращено повторно, </t>
    </r>
    <r>
      <rPr>
        <b/>
        <sz val="12"/>
        <rFont val="Times New Roman"/>
        <family val="1"/>
        <charset val="204"/>
      </rPr>
      <t>без учета</t>
    </r>
    <r>
      <rPr>
        <sz val="12"/>
        <rFont val="Times New Roman"/>
        <family val="1"/>
        <charset val="204"/>
      </rPr>
      <t xml:space="preserve"> прекращенных после доследования</t>
    </r>
  </si>
  <si>
    <t>Принято в произв. дел из числа оправд-х судом вступ. в закон.силу и направ.для доп.рассл. (в делах), а также из числа дел, возобн-х по новым или вновь откр.обст.</t>
  </si>
  <si>
    <t>в отн. лица, подлеж. освоб. от уг. отв. в силу полож. Ос. части УК (п.9) - в делах</t>
  </si>
  <si>
    <t>освоб.лиц за отсутств. осн. или необ. примен. к нему м/п в виде заключ. п/с</t>
  </si>
  <si>
    <t>Количество материалов, реш.по кот.принято в срок свыше устан. УПК</t>
  </si>
  <si>
    <t>__________________________________________________________</t>
  </si>
  <si>
    <t>Кроме того дел о невмен., сов. ООП</t>
  </si>
  <si>
    <t>Из них дел соверш. детьми, при их соуч.</t>
  </si>
  <si>
    <t>ОБВИН. (лиц)</t>
  </si>
  <si>
    <r>
      <t xml:space="preserve">ОБВИН. (лиц) </t>
    </r>
    <r>
      <rPr>
        <sz val="12"/>
        <color theme="0"/>
        <rFont val="Times New Roman"/>
        <family val="1"/>
        <charset val="204"/>
      </rPr>
      <t>2</t>
    </r>
  </si>
  <si>
    <r>
      <t xml:space="preserve">ОБВИН. (лиц) </t>
    </r>
    <r>
      <rPr>
        <sz val="12"/>
        <color theme="0"/>
        <rFont val="Times New Roman"/>
        <family val="1"/>
        <charset val="204"/>
      </rPr>
      <t>3</t>
    </r>
  </si>
  <si>
    <r>
      <t xml:space="preserve">ОБВИН. (лиц) </t>
    </r>
    <r>
      <rPr>
        <sz val="12"/>
        <color theme="0"/>
        <rFont val="Times New Roman"/>
        <family val="1"/>
        <charset val="204"/>
      </rPr>
      <t>4</t>
    </r>
  </si>
  <si>
    <t>в т.ч. соверш. женщ. (лиц)</t>
  </si>
  <si>
    <t>в т.ч. соверш. реб. (лиц)</t>
  </si>
  <si>
    <t>в т.ч. соверш. в отн. женщ. (лиц)</t>
  </si>
  <si>
    <t>в т.ч. соверш. в отнош. реб. (лиц)</t>
  </si>
  <si>
    <t>Приостановлено дел (или присоединено)</t>
  </si>
  <si>
    <t>Количество материалов, приобщенных к ранее зарегистрированным</t>
  </si>
  <si>
    <t>Вступило в законную силу оправдательных приговоров (из строки 197)</t>
  </si>
  <si>
    <t>ГСИН                                                                                                               ____________</t>
  </si>
  <si>
    <t>Прокуратура       ___________</t>
  </si>
  <si>
    <t>МВД                                                   ___________</t>
  </si>
  <si>
    <t>ГКНБ                                                                                 ____________</t>
  </si>
  <si>
    <t>Отчет составлен в ___-х экз.:</t>
  </si>
  <si>
    <t>Экз №___ -                                 Экз №___ -                        Экз №___ -                           Исх.№ ________________</t>
  </si>
  <si>
    <t>из них прекращено</t>
  </si>
  <si>
    <t>из них присоединено дел к другим делам</t>
  </si>
  <si>
    <t>из них повторно приостановлено</t>
  </si>
  <si>
    <t>из них повторно приостановлено по п.1</t>
  </si>
  <si>
    <t>из них повторно приостановлено по п.2</t>
  </si>
  <si>
    <t>из них повторно приостановлено по п.3</t>
  </si>
  <si>
    <t>из них повторно приостановлено по п.4</t>
  </si>
  <si>
    <t>Всего прекращено уголовных дел по ст.27 УПК КР</t>
  </si>
  <si>
    <t>изменена судом ранее примененная мера пресечения (для сведения)</t>
  </si>
  <si>
    <t>Переданы без применения меры пресечения в другие органы</t>
  </si>
  <si>
    <t>просрочки по ЕРП</t>
  </si>
  <si>
    <t>ст.212-1</t>
  </si>
  <si>
    <t>ст.212-2</t>
  </si>
  <si>
    <t>ст.219-1</t>
  </si>
  <si>
    <t>ст.228-1</t>
  </si>
  <si>
    <t>ст.240-1</t>
  </si>
  <si>
    <t>Число лиц по оконч. дел, освоб. от уг. отв. по п.п.7, 9, 9-1, 11, 12, 13 ч.1 и ч.2 ст.27 УПК</t>
  </si>
  <si>
    <t>из них в лицах (п.9-1)</t>
  </si>
  <si>
    <t>в отн. лица, подлеж. освоб. от уг. отв. в силу положений Ос. части УК (п.9-1)</t>
  </si>
  <si>
    <t>в отн. лица, подлеж. освоб. от уг. отв. в силу полож. Ос. части УК (п.9-1) - в делах</t>
  </si>
  <si>
    <t xml:space="preserve">из них кол. задержанных по ст. 96 УПК </t>
  </si>
  <si>
    <t>остаток дел после отмены прекращения</t>
  </si>
  <si>
    <t>остаток дел после отмены приостановления</t>
  </si>
  <si>
    <t>остаток дел после возобновления следствия</t>
  </si>
  <si>
    <t>Решения, которые приняты после отмены постан-я о приост-ии следствия</t>
  </si>
  <si>
    <t>Решения, которые приняты после отмены постан. о прекращ. уг. дела</t>
  </si>
  <si>
    <t>из них повторно прекращено</t>
  </si>
  <si>
    <t>Решения, которые приняты после возобн. ранее приостан-ных угол.дел</t>
  </si>
  <si>
    <t>из них возбуждено уголовное дело</t>
  </si>
  <si>
    <t>из них приостановлено</t>
  </si>
  <si>
    <t>ст.205-1</t>
  </si>
  <si>
    <t>из них женщин (из строк 191 и 192)</t>
  </si>
  <si>
    <t>из них детей (из строк 191 и 192)</t>
  </si>
  <si>
    <t>Наим.строки</t>
  </si>
  <si>
    <t>Утверждена постановлением Нацстаткома Кыргызской Республики от 31.05.2023 г. № 3</t>
  </si>
  <si>
    <t>Кыргыз Республикасынын Улутстаткомунун
31.05.2022-ж. № 3 токтому менен бекитилген</t>
  </si>
  <si>
    <r>
      <t xml:space="preserve">ПРЕДСТАВЛЯЮТ  </t>
    </r>
    <r>
      <rPr>
        <sz val="10"/>
        <rFont val="Arial"/>
        <family val="2"/>
        <charset val="204"/>
      </rPr>
      <t xml:space="preserve">
Органы прокуратуры, МВД, ГСИН, ГКНБ, ГТС предоставляют отчет Генеральной прокуратуре по установленному графику;
Генеральная прокуратура – годовую 25 января, полугодовую 25 июля Нацстаткому Кыргызской Республики</t>
    </r>
  </si>
  <si>
    <r>
      <t xml:space="preserve">Кыргыз Республикасынын ИИМ, ЖАМК, УКМК, МБК прокуратура органдары Башкы прокуратурага бекитилген графиктерге ылайык;
Башкы прокуратура 25 январда жана 25 июлда 
Кыргыз Республикасынын Улутстаткомуна </t>
    </r>
    <r>
      <rPr>
        <b/>
        <sz val="10"/>
        <rFont val="Arial"/>
        <family val="2"/>
        <charset val="204"/>
      </rPr>
      <t xml:space="preserve"> ТАПШЫРАТ</t>
    </r>
  </si>
  <si>
    <t>отказано прокурором или след.судьей в избрании м/п в виде залога</t>
  </si>
  <si>
    <t xml:space="preserve">из них электронное наблюдение </t>
  </si>
  <si>
    <t>Количество материалов, списанные в номенклатурное дело</t>
  </si>
  <si>
    <t>ст.152-1</t>
  </si>
  <si>
    <t>ст.160-1</t>
  </si>
  <si>
    <t>ст.209-1</t>
  </si>
  <si>
    <t>ст.231-1</t>
  </si>
  <si>
    <t>ст.242-1</t>
  </si>
  <si>
    <t>ст.292-1</t>
  </si>
  <si>
    <t>ст.332-1</t>
  </si>
  <si>
    <t>ст.338-1</t>
  </si>
  <si>
    <t>ст.371-1</t>
  </si>
  <si>
    <t>за ноябрь 2025 г. (ж.) үчүн</t>
  </si>
  <si>
    <t>«__09__»__декабрь___ 20____-ж. (г.)</t>
  </si>
  <si>
    <t>Мийзамов Ө.К.</t>
  </si>
  <si>
    <t>Сыдыгалиев Б.О.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</si>
</sst>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₽_-;\-* #,##0.00\ _₽_-;_-* &quot;-&quot;??\ _₽_-;_-@_-"/>
    <numFmt numFmtId="164" formatCode="_-* #,##0\ _₽_-;\-* #,##0\ _₽_-;_-* &quot;-&quot;??\ _₽_-;_-@_-"/>
  </numFmts>
  <fonts count="3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sz val="10"/>
      <name val="Arial Cyr"/>
      <charset val="204"/>
    </font>
    <font>
      <b/>
      <sz val="10"/>
      <name val="Arial"/>
      <family val="2"/>
      <charset val="204"/>
    </font>
    <font>
      <sz val="9"/>
      <name val="Arial"/>
      <family val="2"/>
      <charset val="204"/>
    </font>
    <font>
      <b/>
      <sz val="11"/>
      <name val="Times New Roman"/>
      <family val="1"/>
      <charset val="204"/>
    </font>
    <font>
      <sz val="11"/>
      <color indexed="60"/>
      <name val="Times New Roman"/>
      <family val="1"/>
      <charset val="204"/>
    </font>
    <font>
      <b/>
      <sz val="9"/>
      <name val="Arial"/>
      <family val="2"/>
      <charset val="204"/>
    </font>
    <font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indexed="60"/>
      <name val="Times New Roman"/>
      <family val="1"/>
      <charset val="204"/>
    </font>
    <font>
      <sz val="12"/>
      <color theme="0"/>
      <name val="Times New Roman"/>
      <family val="1"/>
      <charset val="204"/>
    </font>
    <font>
      <b/>
      <sz val="12"/>
      <color indexed="6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i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.5"/>
      <name val="Times New Roman"/>
      <family val="1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0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2"/>
      <name val="Times New Roman"/>
      <family val="1"/>
    </font>
    <font>
      <i/>
      <sz val="12"/>
      <color theme="1"/>
      <name val="Times New Roman"/>
      <family val="1"/>
      <charset val="204"/>
    </font>
    <font>
      <sz val="12"/>
      <color theme="1"/>
      <name val="Times New Roman"/>
      <family val="1"/>
    </font>
    <font>
      <b/>
      <sz val="12"/>
      <color rgb="FFFFFF00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4" fillId="0" borderId="0"/>
    <xf numFmtId="0" fontId="4" fillId="0" borderId="0"/>
    <xf numFmtId="0" fontId="2" fillId="0" borderId="0"/>
  </cellStyleXfs>
  <cellXfs count="221">
    <xf numFmtId="0" fontId="0" fillId="0" borderId="0" xfId="0"/>
    <xf numFmtId="0" fontId="2" fillId="0" borderId="0" xfId="2" applyAlignment="1">
      <alignment vertical="center" wrapText="1"/>
    </xf>
    <xf numFmtId="0" fontId="2" fillId="0" borderId="0" xfId="2" applyAlignment="1" applyProtection="1">
      <alignment vertical="center" wrapText="1"/>
      <protection locked="0"/>
    </xf>
    <xf numFmtId="0" fontId="5" fillId="0" borderId="0" xfId="2" applyFont="1" applyAlignment="1">
      <alignment vertical="center" wrapText="1"/>
    </xf>
    <xf numFmtId="0" fontId="2" fillId="0" borderId="10" xfId="2" applyBorder="1" applyAlignment="1">
      <alignment vertical="center" wrapText="1"/>
    </xf>
    <xf numFmtId="0" fontId="2" fillId="0" borderId="11" xfId="2" applyBorder="1" applyAlignment="1">
      <alignment vertical="center" wrapText="1"/>
    </xf>
    <xf numFmtId="0" fontId="2" fillId="0" borderId="0" xfId="2" applyAlignment="1">
      <alignment horizontal="center" vertical="center" wrapText="1"/>
    </xf>
    <xf numFmtId="0" fontId="2" fillId="0" borderId="10" xfId="2" applyBorder="1" applyAlignment="1">
      <alignment horizontal="center" vertical="center" wrapText="1"/>
    </xf>
    <xf numFmtId="0" fontId="2" fillId="0" borderId="11" xfId="2" applyBorder="1" applyAlignment="1">
      <alignment horizontal="center" vertical="center" wrapText="1"/>
    </xf>
    <xf numFmtId="0" fontId="2" fillId="0" borderId="18" xfId="2" applyBorder="1" applyAlignment="1">
      <alignment vertical="center" wrapText="1"/>
    </xf>
    <xf numFmtId="0" fontId="2" fillId="0" borderId="19" xfId="2" applyBorder="1" applyAlignment="1">
      <alignment horizontal="center" vertical="center" wrapText="1"/>
    </xf>
    <xf numFmtId="0" fontId="2" fillId="0" borderId="28" xfId="2" applyBorder="1" applyAlignment="1">
      <alignment vertical="center" wrapText="1"/>
    </xf>
    <xf numFmtId="0" fontId="5" fillId="0" borderId="0" xfId="2" applyFont="1" applyAlignment="1">
      <alignment horizontal="right" vertical="center" wrapText="1"/>
    </xf>
    <xf numFmtId="0" fontId="5" fillId="5" borderId="33" xfId="2" applyFont="1" applyFill="1" applyBorder="1" applyAlignment="1">
      <alignment horizontal="left" vertical="center" wrapText="1"/>
    </xf>
    <xf numFmtId="0" fontId="5" fillId="5" borderId="33" xfId="2" applyFont="1" applyFill="1" applyBorder="1" applyAlignment="1">
      <alignment horizontal="center" vertical="center" wrapText="1"/>
    </xf>
    <xf numFmtId="0" fontId="5" fillId="5" borderId="32" xfId="2" applyFont="1" applyFill="1" applyBorder="1" applyAlignment="1">
      <alignment horizontal="center" vertical="center" wrapText="1"/>
    </xf>
    <xf numFmtId="0" fontId="2" fillId="0" borderId="0" xfId="3" applyFont="1" applyAlignment="1">
      <alignment wrapText="1"/>
    </xf>
    <xf numFmtId="0" fontId="2" fillId="0" borderId="0" xfId="3" applyFont="1" applyAlignment="1">
      <alignment horizontal="left" vertical="center" wrapText="1"/>
    </xf>
    <xf numFmtId="0" fontId="2" fillId="0" borderId="0" xfId="3" applyFont="1" applyAlignment="1">
      <alignment horizontal="left" vertical="top" wrapText="1"/>
    </xf>
    <xf numFmtId="0" fontId="3" fillId="0" borderId="0" xfId="2" applyFont="1" applyAlignment="1">
      <alignment vertical="center" wrapText="1"/>
    </xf>
    <xf numFmtId="0" fontId="3" fillId="0" borderId="1" xfId="2" applyFont="1" applyBorder="1" applyAlignment="1">
      <alignment vertical="center" wrapText="1"/>
    </xf>
    <xf numFmtId="0" fontId="8" fillId="0" borderId="1" xfId="2" applyFont="1" applyBorder="1" applyAlignment="1">
      <alignment vertical="center" textRotation="90" wrapText="1"/>
    </xf>
    <xf numFmtId="0" fontId="3" fillId="3" borderId="1" xfId="2" applyFont="1" applyFill="1" applyBorder="1" applyAlignment="1">
      <alignment vertical="center" textRotation="90" wrapText="1"/>
    </xf>
    <xf numFmtId="0" fontId="7" fillId="0" borderId="0" xfId="2" applyFont="1" applyAlignment="1">
      <alignment vertical="center" wrapText="1"/>
    </xf>
    <xf numFmtId="0" fontId="3" fillId="0" borderId="30" xfId="2" applyFont="1" applyBorder="1" applyAlignment="1">
      <alignment vertical="center" wrapText="1"/>
    </xf>
    <xf numFmtId="0" fontId="3" fillId="0" borderId="0" xfId="2" applyFont="1" applyAlignment="1">
      <alignment horizontal="center" vertical="center" wrapText="1"/>
    </xf>
    <xf numFmtId="0" fontId="2" fillId="0" borderId="0" xfId="2"/>
    <xf numFmtId="0" fontId="10" fillId="0" borderId="0" xfId="0" applyFont="1"/>
    <xf numFmtId="0" fontId="5" fillId="5" borderId="0" xfId="2" applyFont="1" applyFill="1" applyAlignment="1" applyProtection="1">
      <alignment horizontal="left" vertical="center" wrapText="1"/>
      <protection hidden="1"/>
    </xf>
    <xf numFmtId="0" fontId="0" fillId="0" borderId="0" xfId="0" applyAlignment="1" applyProtection="1">
      <alignment horizontal="left"/>
      <protection hidden="1"/>
    </xf>
    <xf numFmtId="0" fontId="5" fillId="7" borderId="0" xfId="2" applyFont="1" applyFill="1" applyAlignment="1" applyProtection="1">
      <alignment horizontal="center" vertical="center" wrapText="1"/>
      <protection hidden="1"/>
    </xf>
    <xf numFmtId="164" fontId="5" fillId="5" borderId="34" xfId="1" applyNumberFormat="1" applyFont="1" applyFill="1" applyBorder="1" applyAlignment="1" applyProtection="1">
      <alignment horizontal="center" vertical="center" wrapText="1"/>
    </xf>
    <xf numFmtId="164" fontId="2" fillId="0" borderId="0" xfId="1" applyNumberFormat="1" applyFont="1" applyFill="1" applyAlignment="1" applyProtection="1">
      <alignment horizontal="center" vertical="center" wrapText="1"/>
    </xf>
    <xf numFmtId="164" fontId="0" fillId="0" borderId="0" xfId="1" applyNumberFormat="1" applyFont="1" applyAlignment="1" applyProtection="1">
      <alignment horizontal="center" vertical="center"/>
    </xf>
    <xf numFmtId="0" fontId="2" fillId="0" borderId="0" xfId="5" applyAlignment="1" applyProtection="1">
      <alignment horizontal="center" vertical="center" wrapText="1"/>
      <protection hidden="1"/>
    </xf>
    <xf numFmtId="0" fontId="2" fillId="0" borderId="0" xfId="5" applyAlignment="1" applyProtection="1">
      <alignment vertical="center" wrapText="1"/>
      <protection hidden="1"/>
    </xf>
    <xf numFmtId="0" fontId="12" fillId="0" borderId="33" xfId="2" applyFont="1" applyBorder="1" applyAlignment="1">
      <alignment horizontal="center" vertical="center" textRotation="90" wrapText="1"/>
    </xf>
    <xf numFmtId="0" fontId="13" fillId="0" borderId="31" xfId="2" applyFont="1" applyBorder="1" applyAlignment="1">
      <alignment horizontal="center" vertical="center" wrapText="1"/>
    </xf>
    <xf numFmtId="0" fontId="14" fillId="0" borderId="32" xfId="2" applyFont="1" applyBorder="1" applyAlignment="1">
      <alignment horizontal="center" vertical="center" textRotation="90" wrapText="1"/>
    </xf>
    <xf numFmtId="0" fontId="12" fillId="2" borderId="32" xfId="2" applyFont="1" applyFill="1" applyBorder="1" applyAlignment="1">
      <alignment horizontal="center" vertical="center" textRotation="90" wrapText="1"/>
    </xf>
    <xf numFmtId="0" fontId="12" fillId="0" borderId="32" xfId="2" applyFont="1" applyBorder="1" applyAlignment="1">
      <alignment horizontal="center" vertical="center" textRotation="90" wrapText="1"/>
    </xf>
    <xf numFmtId="0" fontId="12" fillId="3" borderId="33" xfId="2" applyFont="1" applyFill="1" applyBorder="1" applyAlignment="1">
      <alignment horizontal="center" vertical="center" textRotation="90" wrapText="1"/>
    </xf>
    <xf numFmtId="0" fontId="12" fillId="3" borderId="34" xfId="2" applyFont="1" applyFill="1" applyBorder="1" applyAlignment="1">
      <alignment horizontal="center" vertical="center" textRotation="90" wrapText="1"/>
    </xf>
    <xf numFmtId="0" fontId="12" fillId="0" borderId="32" xfId="2" applyFont="1" applyBorder="1" applyAlignment="1">
      <alignment horizontal="center" vertical="center" wrapText="1"/>
    </xf>
    <xf numFmtId="0" fontId="16" fillId="0" borderId="30" xfId="2" applyFont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0" fontId="16" fillId="2" borderId="1" xfId="2" applyFont="1" applyFill="1" applyBorder="1" applyAlignment="1">
      <alignment horizontal="center" vertical="center" wrapText="1"/>
    </xf>
    <xf numFmtId="0" fontId="16" fillId="3" borderId="1" xfId="2" applyFont="1" applyFill="1" applyBorder="1" applyAlignment="1">
      <alignment horizontal="center" vertical="center" wrapText="1"/>
    </xf>
    <xf numFmtId="0" fontId="16" fillId="3" borderId="3" xfId="2" applyFont="1" applyFill="1" applyBorder="1" applyAlignment="1">
      <alignment horizontal="center" vertical="center" wrapText="1"/>
    </xf>
    <xf numFmtId="0" fontId="12" fillId="2" borderId="30" xfId="2" applyFont="1" applyFill="1" applyBorder="1" applyAlignment="1">
      <alignment horizontal="left" vertical="center"/>
    </xf>
    <xf numFmtId="0" fontId="13" fillId="2" borderId="30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 wrapText="1"/>
    </xf>
    <xf numFmtId="0" fontId="12" fillId="4" borderId="1" xfId="2" applyFont="1" applyFill="1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 wrapText="1"/>
    </xf>
    <xf numFmtId="0" fontId="12" fillId="3" borderId="1" xfId="2" applyFont="1" applyFill="1" applyBorder="1" applyAlignment="1">
      <alignment horizontal="center" vertical="center" wrapText="1"/>
    </xf>
    <xf numFmtId="0" fontId="15" fillId="0" borderId="30" xfId="2" applyFont="1" applyBorder="1" applyAlignment="1">
      <alignment horizontal="left" vertical="center"/>
    </xf>
    <xf numFmtId="0" fontId="12" fillId="0" borderId="30" xfId="2" applyFont="1" applyBorder="1" applyAlignment="1">
      <alignment horizontal="left" vertical="center" wrapText="1"/>
    </xf>
    <xf numFmtId="0" fontId="12" fillId="2" borderId="1" xfId="2" applyFont="1" applyFill="1" applyBorder="1" applyAlignment="1" applyProtection="1">
      <alignment horizontal="center" vertical="center" wrapText="1"/>
      <protection locked="0"/>
    </xf>
    <xf numFmtId="0" fontId="12" fillId="0" borderId="1" xfId="2" applyFont="1" applyBorder="1" applyAlignment="1" applyProtection="1">
      <alignment horizontal="center" vertical="center" wrapText="1"/>
      <protection locked="0"/>
    </xf>
    <xf numFmtId="0" fontId="12" fillId="3" borderId="1" xfId="2" applyFont="1" applyFill="1" applyBorder="1" applyAlignment="1" applyProtection="1">
      <alignment horizontal="center" vertical="center" wrapText="1"/>
      <protection locked="0"/>
    </xf>
    <xf numFmtId="0" fontId="12" fillId="6" borderId="30" xfId="2" applyFont="1" applyFill="1" applyBorder="1" applyAlignment="1">
      <alignment horizontal="left" vertical="center" wrapText="1"/>
    </xf>
    <xf numFmtId="0" fontId="12" fillId="0" borderId="30" xfId="2" applyFont="1" applyBorder="1" applyAlignment="1">
      <alignment vertical="center" wrapText="1"/>
    </xf>
    <xf numFmtId="0" fontId="12" fillId="6" borderId="30" xfId="2" applyFont="1" applyFill="1" applyBorder="1" applyAlignment="1">
      <alignment vertical="center" wrapText="1"/>
    </xf>
    <xf numFmtId="0" fontId="12" fillId="6" borderId="2" xfId="2" applyFont="1" applyFill="1" applyBorder="1" applyAlignment="1">
      <alignment vertical="center" wrapText="1"/>
    </xf>
    <xf numFmtId="0" fontId="12" fillId="8" borderId="1" xfId="2" applyFont="1" applyFill="1" applyBorder="1" applyAlignment="1">
      <alignment horizontal="center" vertical="center" wrapText="1"/>
    </xf>
    <xf numFmtId="0" fontId="12" fillId="0" borderId="35" xfId="2" applyFont="1" applyBorder="1" applyAlignment="1">
      <alignment vertical="center" wrapText="1"/>
    </xf>
    <xf numFmtId="0" fontId="17" fillId="0" borderId="2" xfId="2" applyFont="1" applyBorder="1" applyAlignment="1">
      <alignment vertical="center" wrapText="1"/>
    </xf>
    <xf numFmtId="0" fontId="0" fillId="6" borderId="0" xfId="0" applyFill="1"/>
    <xf numFmtId="0" fontId="16" fillId="0" borderId="0" xfId="2" applyFont="1" applyAlignment="1">
      <alignment horizontal="left" vertical="top"/>
    </xf>
    <xf numFmtId="0" fontId="12" fillId="0" borderId="0" xfId="4" applyFont="1" applyAlignment="1">
      <alignment vertical="center" wrapText="1"/>
    </xf>
    <xf numFmtId="164" fontId="16" fillId="0" borderId="0" xfId="2" applyNumberFormat="1" applyFont="1" applyAlignment="1" applyProtection="1">
      <alignment horizontal="left" vertical="center" wrapText="1"/>
      <protection hidden="1"/>
    </xf>
    <xf numFmtId="0" fontId="16" fillId="9" borderId="0" xfId="2" applyFont="1" applyFill="1" applyAlignment="1" applyProtection="1">
      <alignment horizontal="center" vertical="center" wrapText="1"/>
      <protection locked="0"/>
    </xf>
    <xf numFmtId="0" fontId="16" fillId="10" borderId="0" xfId="2" applyFont="1" applyFill="1" applyAlignment="1">
      <alignment horizontal="left" vertical="top"/>
    </xf>
    <xf numFmtId="0" fontId="18" fillId="0" borderId="0" xfId="2" applyFont="1" applyAlignment="1">
      <alignment horizontal="left" vertical="top"/>
    </xf>
    <xf numFmtId="0" fontId="13" fillId="0" borderId="1" xfId="2" applyFont="1" applyBorder="1" applyAlignment="1">
      <alignment horizontal="left" vertical="center" wrapText="1"/>
    </xf>
    <xf numFmtId="0" fontId="12" fillId="6" borderId="1" xfId="2" applyFont="1" applyFill="1" applyBorder="1" applyAlignment="1">
      <alignment horizontal="left" vertical="center" wrapText="1"/>
    </xf>
    <xf numFmtId="0" fontId="12" fillId="0" borderId="1" xfId="2" applyFont="1" applyBorder="1" applyAlignment="1">
      <alignment horizontal="left" vertical="center" wrapText="1"/>
    </xf>
    <xf numFmtId="164" fontId="16" fillId="8" borderId="0" xfId="2" applyNumberFormat="1" applyFont="1" applyFill="1" applyAlignment="1" applyProtection="1">
      <alignment horizontal="left" vertical="center" wrapText="1"/>
      <protection hidden="1"/>
    </xf>
    <xf numFmtId="0" fontId="19" fillId="0" borderId="1" xfId="2" applyFont="1" applyBorder="1" applyAlignment="1">
      <alignment horizontal="left" vertical="center" wrapText="1"/>
    </xf>
    <xf numFmtId="0" fontId="19" fillId="6" borderId="1" xfId="2" applyFont="1" applyFill="1" applyBorder="1" applyAlignment="1">
      <alignment horizontal="left" vertical="center" wrapText="1"/>
    </xf>
    <xf numFmtId="164" fontId="16" fillId="8" borderId="0" xfId="2" applyNumberFormat="1" applyFont="1" applyFill="1" applyAlignment="1" applyProtection="1">
      <alignment horizontal="left" vertical="center"/>
      <protection hidden="1"/>
    </xf>
    <xf numFmtId="0" fontId="13" fillId="2" borderId="1" xfId="2" applyFont="1" applyFill="1" applyBorder="1" applyAlignment="1">
      <alignment horizontal="left" vertical="center" wrapText="1"/>
    </xf>
    <xf numFmtId="164" fontId="13" fillId="8" borderId="0" xfId="2" applyNumberFormat="1" applyFont="1" applyFill="1" applyAlignment="1" applyProtection="1">
      <alignment horizontal="left" vertical="center"/>
      <protection hidden="1"/>
    </xf>
    <xf numFmtId="164" fontId="16" fillId="6" borderId="0" xfId="2" applyNumberFormat="1" applyFont="1" applyFill="1" applyAlignment="1" applyProtection="1">
      <alignment horizontal="left" vertical="center" wrapText="1"/>
      <protection hidden="1"/>
    </xf>
    <xf numFmtId="164" fontId="16" fillId="6" borderId="0" xfId="2" applyNumberFormat="1" applyFont="1" applyFill="1" applyAlignment="1" applyProtection="1">
      <alignment horizontal="left" vertical="center"/>
      <protection hidden="1"/>
    </xf>
    <xf numFmtId="0" fontId="12" fillId="2" borderId="1" xfId="2" applyFont="1" applyFill="1" applyBorder="1" applyAlignment="1">
      <alignment horizontal="left" vertical="center" wrapText="1"/>
    </xf>
    <xf numFmtId="0" fontId="20" fillId="0" borderId="0" xfId="0" applyFont="1" applyProtection="1">
      <protection hidden="1"/>
    </xf>
    <xf numFmtId="0" fontId="18" fillId="6" borderId="0" xfId="2" applyFont="1" applyFill="1" applyAlignment="1">
      <alignment horizontal="left" vertical="top"/>
    </xf>
    <xf numFmtId="0" fontId="16" fillId="6" borderId="0" xfId="2" applyFont="1" applyFill="1" applyAlignment="1" applyProtection="1">
      <alignment horizontal="center" vertical="center" wrapText="1"/>
      <protection locked="0"/>
    </xf>
    <xf numFmtId="164" fontId="13" fillId="0" borderId="0" xfId="2" applyNumberFormat="1" applyFont="1" applyAlignment="1" applyProtection="1">
      <alignment horizontal="left" vertical="center" wrapText="1"/>
      <protection hidden="1"/>
    </xf>
    <xf numFmtId="0" fontId="13" fillId="9" borderId="0" xfId="2" applyFont="1" applyFill="1" applyAlignment="1" applyProtection="1">
      <alignment horizontal="center" vertical="center" wrapText="1"/>
      <protection locked="0"/>
    </xf>
    <xf numFmtId="0" fontId="16" fillId="0" borderId="0" xfId="2" applyFont="1" applyAlignment="1">
      <alignment horizontal="left" vertical="center"/>
    </xf>
    <xf numFmtId="0" fontId="18" fillId="0" borderId="0" xfId="2" applyFont="1" applyAlignment="1">
      <alignment horizontal="left" vertical="center"/>
    </xf>
    <xf numFmtId="0" fontId="13" fillId="2" borderId="1" xfId="4" applyFont="1" applyFill="1" applyBorder="1" applyAlignment="1">
      <alignment vertical="center" wrapText="1"/>
    </xf>
    <xf numFmtId="0" fontId="12" fillId="0" borderId="1" xfId="2" applyFont="1" applyBorder="1" applyAlignment="1">
      <alignment vertical="center" wrapText="1"/>
    </xf>
    <xf numFmtId="0" fontId="12" fillId="0" borderId="1" xfId="4" applyFont="1" applyBorder="1" applyAlignment="1">
      <alignment vertical="center" wrapText="1"/>
    </xf>
    <xf numFmtId="0" fontId="19" fillId="0" borderId="1" xfId="4" applyFont="1" applyBorder="1" applyAlignment="1">
      <alignment vertical="center" wrapText="1"/>
    </xf>
    <xf numFmtId="0" fontId="12" fillId="6" borderId="1" xfId="4" applyFont="1" applyFill="1" applyBorder="1" applyAlignment="1">
      <alignment vertical="center" wrapText="1"/>
    </xf>
    <xf numFmtId="0" fontId="12" fillId="2" borderId="1" xfId="4" applyFont="1" applyFill="1" applyBorder="1" applyAlignment="1">
      <alignment vertical="center" wrapText="1"/>
    </xf>
    <xf numFmtId="0" fontId="12" fillId="2" borderId="1" xfId="4" applyFont="1" applyFill="1" applyBorder="1" applyAlignment="1">
      <alignment horizontal="left" vertical="center" wrapText="1"/>
    </xf>
    <xf numFmtId="0" fontId="19" fillId="2" borderId="1" xfId="4" applyFont="1" applyFill="1" applyBorder="1" applyAlignment="1">
      <alignment horizontal="left" vertical="center" wrapText="1"/>
    </xf>
    <xf numFmtId="0" fontId="13" fillId="0" borderId="0" xfId="2" applyFont="1" applyAlignment="1">
      <alignment horizontal="left" vertical="center"/>
    </xf>
    <xf numFmtId="0" fontId="13" fillId="2" borderId="1" xfId="4" applyFont="1" applyFill="1" applyBorder="1" applyAlignment="1">
      <alignment horizontal="left" vertical="center" wrapText="1"/>
    </xf>
    <xf numFmtId="0" fontId="13" fillId="6" borderId="1" xfId="4" applyFont="1" applyFill="1" applyBorder="1" applyAlignment="1">
      <alignment horizontal="left" vertical="center" wrapText="1"/>
    </xf>
    <xf numFmtId="0" fontId="19" fillId="6" borderId="1" xfId="4" applyFont="1" applyFill="1" applyBorder="1" applyAlignment="1">
      <alignment vertical="center" wrapText="1"/>
    </xf>
    <xf numFmtId="0" fontId="13" fillId="0" borderId="1" xfId="4" applyFont="1" applyBorder="1" applyAlignment="1">
      <alignment vertical="center" wrapText="1"/>
    </xf>
    <xf numFmtId="0" fontId="12" fillId="0" borderId="1" xfId="3" applyFont="1" applyBorder="1" applyAlignment="1">
      <alignment vertical="center" wrapText="1"/>
    </xf>
    <xf numFmtId="0" fontId="19" fillId="0" borderId="1" xfId="3" applyFont="1" applyBorder="1" applyAlignment="1">
      <alignment vertical="center" wrapText="1"/>
    </xf>
    <xf numFmtId="0" fontId="13" fillId="2" borderId="1" xfId="3" applyFont="1" applyFill="1" applyBorder="1" applyAlignment="1">
      <alignment horizontal="left" vertical="center" wrapText="1"/>
    </xf>
    <xf numFmtId="0" fontId="20" fillId="0" borderId="0" xfId="0" applyFont="1"/>
    <xf numFmtId="0" fontId="19" fillId="0" borderId="1" xfId="2" applyFont="1" applyBorder="1" applyAlignment="1">
      <alignment vertical="center" wrapText="1"/>
    </xf>
    <xf numFmtId="0" fontId="13" fillId="2" borderId="1" xfId="3" applyFont="1" applyFill="1" applyBorder="1" applyAlignment="1">
      <alignment vertical="center" wrapText="1"/>
    </xf>
    <xf numFmtId="0" fontId="12" fillId="0" borderId="1" xfId="2" applyFont="1" applyBorder="1" applyAlignment="1">
      <alignment wrapText="1"/>
    </xf>
    <xf numFmtId="0" fontId="19" fillId="0" borderId="1" xfId="2" applyFont="1" applyBorder="1" applyAlignment="1">
      <alignment wrapText="1"/>
    </xf>
    <xf numFmtId="0" fontId="13" fillId="6" borderId="1" xfId="2" applyFont="1" applyFill="1" applyBorder="1" applyAlignment="1">
      <alignment wrapText="1"/>
    </xf>
    <xf numFmtId="0" fontId="12" fillId="0" borderId="1" xfId="4" applyFont="1" applyBorder="1" applyAlignment="1">
      <alignment vertical="center"/>
    </xf>
    <xf numFmtId="0" fontId="21" fillId="6" borderId="1" xfId="2" applyFont="1" applyFill="1" applyBorder="1" applyAlignment="1">
      <alignment horizontal="left" vertical="center" wrapText="1"/>
    </xf>
    <xf numFmtId="0" fontId="13" fillId="5" borderId="33" xfId="2" applyFont="1" applyFill="1" applyBorder="1" applyAlignment="1">
      <alignment horizontal="center" vertical="center" wrapText="1"/>
    </xf>
    <xf numFmtId="164" fontId="16" fillId="0" borderId="0" xfId="2" applyNumberFormat="1" applyFont="1" applyAlignment="1" applyProtection="1">
      <alignment horizontal="center" vertical="center" wrapText="1"/>
      <protection hidden="1"/>
    </xf>
    <xf numFmtId="164" fontId="16" fillId="8" borderId="0" xfId="2" applyNumberFormat="1" applyFont="1" applyFill="1" applyAlignment="1" applyProtection="1">
      <alignment horizontal="center" vertical="center" wrapText="1"/>
      <protection hidden="1"/>
    </xf>
    <xf numFmtId="164" fontId="16" fillId="6" borderId="0" xfId="2" applyNumberFormat="1" applyFont="1" applyFill="1" applyAlignment="1" applyProtection="1">
      <alignment horizontal="center" vertical="center" wrapText="1"/>
      <protection hidden="1"/>
    </xf>
    <xf numFmtId="164" fontId="13" fillId="0" borderId="0" xfId="2" applyNumberFormat="1" applyFont="1" applyAlignment="1" applyProtection="1">
      <alignment horizontal="center" vertical="center" wrapText="1"/>
      <protection hidden="1"/>
    </xf>
    <xf numFmtId="164" fontId="16" fillId="8" borderId="0" xfId="2" applyNumberFormat="1" applyFont="1" applyFill="1" applyAlignment="1" applyProtection="1">
      <alignment horizontal="center" vertical="center"/>
      <protection hidden="1"/>
    </xf>
    <xf numFmtId="0" fontId="2" fillId="0" borderId="0" xfId="3" applyFont="1" applyAlignment="1">
      <alignment horizontal="center" vertical="center" wrapText="1"/>
    </xf>
    <xf numFmtId="164" fontId="20" fillId="0" borderId="0" xfId="0" applyNumberFormat="1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0" borderId="0" xfId="0" applyAlignment="1">
      <alignment horizontal="center" vertical="center"/>
    </xf>
    <xf numFmtId="164" fontId="16" fillId="0" borderId="0" xfId="2" applyNumberFormat="1" applyFont="1" applyAlignment="1" applyProtection="1">
      <alignment horizontal="center" vertical="center"/>
      <protection hidden="1"/>
    </xf>
    <xf numFmtId="0" fontId="12" fillId="6" borderId="1" xfId="3" applyFont="1" applyFill="1" applyBorder="1" applyAlignment="1">
      <alignment vertical="center" wrapText="1"/>
    </xf>
    <xf numFmtId="0" fontId="22" fillId="0" borderId="0" xfId="3" applyFont="1" applyAlignment="1">
      <alignment wrapText="1"/>
    </xf>
    <xf numFmtId="0" fontId="23" fillId="0" borderId="0" xfId="3" applyFont="1" applyAlignment="1">
      <alignment wrapText="1"/>
    </xf>
    <xf numFmtId="0" fontId="18" fillId="6" borderId="0" xfId="2" applyFont="1" applyFill="1" applyAlignment="1">
      <alignment horizontal="left" vertical="center"/>
    </xf>
    <xf numFmtId="0" fontId="12" fillId="6" borderId="1" xfId="2" applyFont="1" applyFill="1" applyBorder="1" applyAlignment="1">
      <alignment wrapText="1"/>
    </xf>
    <xf numFmtId="0" fontId="24" fillId="0" borderId="0" xfId="3" applyFont="1" applyAlignment="1">
      <alignment wrapText="1"/>
    </xf>
    <xf numFmtId="0" fontId="13" fillId="0" borderId="0" xfId="3" applyFont="1" applyAlignment="1">
      <alignment wrapText="1"/>
    </xf>
    <xf numFmtId="0" fontId="12" fillId="7" borderId="1" xfId="2" applyFont="1" applyFill="1" applyBorder="1" applyAlignment="1">
      <alignment horizontal="center" vertical="center" wrapText="1"/>
    </xf>
    <xf numFmtId="0" fontId="12" fillId="7" borderId="1" xfId="2" applyFont="1" applyFill="1" applyBorder="1" applyAlignment="1" applyProtection="1">
      <alignment horizontal="center" vertical="center" wrapText="1"/>
      <protection locked="0"/>
    </xf>
    <xf numFmtId="0" fontId="12" fillId="7" borderId="4" xfId="2" applyFont="1" applyFill="1" applyBorder="1" applyAlignment="1" applyProtection="1">
      <alignment horizontal="center" vertical="center" wrapText="1"/>
      <protection locked="0"/>
    </xf>
    <xf numFmtId="0" fontId="26" fillId="0" borderId="1" xfId="4" applyFont="1" applyBorder="1" applyAlignment="1">
      <alignment vertical="center" wrapText="1"/>
    </xf>
    <xf numFmtId="0" fontId="27" fillId="0" borderId="1" xfId="4" applyFont="1" applyBorder="1" applyAlignment="1">
      <alignment vertical="center" wrapText="1"/>
    </xf>
    <xf numFmtId="164" fontId="28" fillId="0" borderId="1" xfId="1" applyNumberFormat="1" applyFont="1" applyBorder="1" applyAlignment="1" applyProtection="1">
      <alignment horizontal="center" vertical="center" wrapText="1"/>
      <protection locked="0"/>
    </xf>
    <xf numFmtId="164" fontId="28" fillId="8" borderId="1" xfId="1" applyNumberFormat="1" applyFont="1" applyFill="1" applyBorder="1" applyAlignment="1" applyProtection="1">
      <alignment horizontal="center" vertical="center" wrapText="1"/>
    </xf>
    <xf numFmtId="164" fontId="28" fillId="6" borderId="1" xfId="1" applyNumberFormat="1" applyFont="1" applyFill="1" applyBorder="1" applyAlignment="1" applyProtection="1">
      <alignment horizontal="center" vertical="center" wrapText="1"/>
      <protection locked="0"/>
    </xf>
    <xf numFmtId="164" fontId="28" fillId="0" borderId="1" xfId="1" applyNumberFormat="1" applyFont="1" applyFill="1" applyBorder="1" applyAlignment="1" applyProtection="1">
      <alignment horizontal="center" vertical="center" wrapText="1"/>
      <protection locked="0"/>
    </xf>
    <xf numFmtId="164" fontId="28" fillId="8" borderId="1" xfId="1" applyNumberFormat="1" applyFont="1" applyFill="1" applyBorder="1" applyAlignment="1" applyProtection="1">
      <alignment horizontal="center" vertical="center" wrapText="1"/>
      <protection locked="0"/>
    </xf>
    <xf numFmtId="164" fontId="28" fillId="10" borderId="1" xfId="1" applyNumberFormat="1" applyFont="1" applyFill="1" applyBorder="1" applyAlignment="1" applyProtection="1">
      <alignment horizontal="center" vertical="center" wrapText="1"/>
    </xf>
    <xf numFmtId="0" fontId="16" fillId="10" borderId="1" xfId="2" applyFont="1" applyFill="1" applyBorder="1" applyAlignment="1">
      <alignment horizontal="left" vertical="center"/>
    </xf>
    <xf numFmtId="0" fontId="16" fillId="10" borderId="1" xfId="2" applyFont="1" applyFill="1" applyBorder="1" applyAlignment="1">
      <alignment horizontal="left" vertical="center" wrapText="1"/>
    </xf>
    <xf numFmtId="0" fontId="13" fillId="0" borderId="1" xfId="3" applyFont="1" applyBorder="1" applyAlignment="1">
      <alignment vertical="center" wrapText="1"/>
    </xf>
    <xf numFmtId="0" fontId="12" fillId="3" borderId="3" xfId="2" applyFont="1" applyFill="1" applyBorder="1" applyAlignment="1" applyProtection="1">
      <alignment horizontal="center" vertical="center" wrapText="1"/>
      <protection locked="0"/>
    </xf>
    <xf numFmtId="164" fontId="16" fillId="0" borderId="1" xfId="1" applyNumberFormat="1" applyFont="1" applyBorder="1" applyAlignment="1" applyProtection="1">
      <alignment horizontal="center" vertical="center" wrapText="1"/>
      <protection locked="0"/>
    </xf>
    <xf numFmtId="0" fontId="3" fillId="7" borderId="1" xfId="2" applyFont="1" applyFill="1" applyBorder="1" applyAlignment="1">
      <alignment vertical="center" textRotation="90" wrapText="1"/>
    </xf>
    <xf numFmtId="0" fontId="12" fillId="7" borderId="34" xfId="2" applyFont="1" applyFill="1" applyBorder="1" applyAlignment="1">
      <alignment horizontal="center" vertical="center" textRotation="90" wrapText="1"/>
    </xf>
    <xf numFmtId="0" fontId="12" fillId="7" borderId="36" xfId="2" applyFont="1" applyFill="1" applyBorder="1" applyAlignment="1">
      <alignment horizontal="center" vertical="center" textRotation="90" wrapText="1"/>
    </xf>
    <xf numFmtId="0" fontId="16" fillId="7" borderId="1" xfId="2" applyFont="1" applyFill="1" applyBorder="1" applyAlignment="1">
      <alignment horizontal="center" vertical="center" wrapText="1"/>
    </xf>
    <xf numFmtId="0" fontId="16" fillId="7" borderId="3" xfId="2" applyFont="1" applyFill="1" applyBorder="1" applyAlignment="1">
      <alignment horizontal="center" vertical="center" wrapText="1"/>
    </xf>
    <xf numFmtId="164" fontId="29" fillId="10" borderId="0" xfId="1" applyNumberFormat="1" applyFont="1" applyFill="1" applyBorder="1" applyAlignment="1" applyProtection="1">
      <alignment horizontal="center" vertical="center" wrapText="1"/>
    </xf>
    <xf numFmtId="164" fontId="18" fillId="0" borderId="0" xfId="2" applyNumberFormat="1" applyFont="1" applyAlignment="1" applyProtection="1">
      <alignment horizontal="center" vertical="center" wrapText="1"/>
      <protection hidden="1"/>
    </xf>
    <xf numFmtId="164" fontId="18" fillId="0" borderId="0" xfId="2" applyNumberFormat="1" applyFont="1" applyAlignment="1" applyProtection="1">
      <alignment horizontal="left" vertical="center" wrapText="1"/>
      <protection hidden="1"/>
    </xf>
    <xf numFmtId="0" fontId="18" fillId="6" borderId="0" xfId="2" applyFont="1" applyFill="1" applyAlignment="1">
      <alignment horizontal="center" vertical="center" wrapText="1"/>
    </xf>
    <xf numFmtId="164" fontId="18" fillId="6" borderId="0" xfId="1" applyNumberFormat="1" applyFont="1" applyFill="1" applyBorder="1" applyAlignment="1" applyProtection="1">
      <alignment horizontal="center" vertical="center" wrapText="1"/>
    </xf>
    <xf numFmtId="164" fontId="18" fillId="6" borderId="0" xfId="2" applyNumberFormat="1" applyFont="1" applyFill="1" applyAlignment="1" applyProtection="1">
      <alignment horizontal="center" vertical="center" wrapText="1"/>
      <protection hidden="1"/>
    </xf>
    <xf numFmtId="164" fontId="18" fillId="6" borderId="0" xfId="2" applyNumberFormat="1" applyFont="1" applyFill="1" applyAlignment="1" applyProtection="1">
      <alignment horizontal="left" vertical="center" wrapText="1"/>
      <protection hidden="1"/>
    </xf>
    <xf numFmtId="0" fontId="12" fillId="0" borderId="1" xfId="1" applyNumberFormat="1" applyFont="1" applyBorder="1" applyAlignment="1" applyProtection="1">
      <alignment horizontal="center" vertical="center" wrapText="1"/>
      <protection locked="0"/>
    </xf>
    <xf numFmtId="0" fontId="26" fillId="0" borderId="1" xfId="1" applyNumberFormat="1" applyFont="1" applyBorder="1" applyAlignment="1" applyProtection="1">
      <alignment horizontal="center" vertical="center" wrapText="1"/>
      <protection locked="0"/>
    </xf>
    <xf numFmtId="0" fontId="26" fillId="6" borderId="1" xfId="1" applyNumberFormat="1" applyFont="1" applyFill="1" applyBorder="1" applyAlignment="1" applyProtection="1">
      <alignment horizontal="center" vertical="center" wrapText="1"/>
      <protection locked="0"/>
    </xf>
    <xf numFmtId="164" fontId="26" fillId="0" borderId="1" xfId="1" applyNumberFormat="1" applyFont="1" applyBorder="1" applyAlignment="1" applyProtection="1">
      <alignment horizontal="center" vertical="center" wrapText="1"/>
      <protection locked="0"/>
    </xf>
    <xf numFmtId="0" fontId="26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12" fillId="0" borderId="1" xfId="1" applyNumberFormat="1" applyFont="1" applyFill="1" applyBorder="1" applyAlignment="1" applyProtection="1">
      <alignment horizontal="center" vertical="center" wrapText="1"/>
      <protection locked="0"/>
    </xf>
    <xf numFmtId="164" fontId="28" fillId="0" borderId="1" xfId="1" applyNumberFormat="1" applyFont="1" applyBorder="1" applyAlignment="1" applyProtection="1">
      <alignment horizontal="left" vertical="center" wrapText="1"/>
      <protection locked="0"/>
    </xf>
    <xf numFmtId="0" fontId="2" fillId="0" borderId="23" xfId="2" applyBorder="1" applyAlignment="1">
      <alignment vertical="center" wrapText="1"/>
    </xf>
    <xf numFmtId="0" fontId="2" fillId="0" borderId="22" xfId="2" applyBorder="1" applyAlignment="1">
      <alignment vertical="center" wrapText="1"/>
    </xf>
    <xf numFmtId="0" fontId="2" fillId="0" borderId="21" xfId="2" applyBorder="1" applyAlignment="1">
      <alignment vertical="center" wrapText="1"/>
    </xf>
    <xf numFmtId="0" fontId="5" fillId="0" borderId="0" xfId="2" applyFont="1" applyAlignment="1">
      <alignment horizontal="right" vertical="center" wrapText="1"/>
    </xf>
    <xf numFmtId="0" fontId="5" fillId="0" borderId="0" xfId="2" applyFont="1" applyAlignment="1">
      <alignment vertical="center" wrapText="1"/>
    </xf>
    <xf numFmtId="0" fontId="5" fillId="0" borderId="23" xfId="2" applyFont="1" applyBorder="1" applyAlignment="1">
      <alignment horizontal="center" vertical="center" wrapText="1"/>
    </xf>
    <xf numFmtId="0" fontId="5" fillId="0" borderId="22" xfId="2" applyFont="1" applyBorder="1" applyAlignment="1">
      <alignment horizontal="center" vertical="center" wrapText="1"/>
    </xf>
    <xf numFmtId="0" fontId="5" fillId="0" borderId="21" xfId="2" applyFont="1" applyBorder="1" applyAlignment="1">
      <alignment horizontal="center" vertical="center" wrapText="1"/>
    </xf>
    <xf numFmtId="0" fontId="2" fillId="0" borderId="0" xfId="5" applyAlignment="1" applyProtection="1">
      <alignment horizontal="center" vertical="center" wrapText="1"/>
      <protection hidden="1"/>
    </xf>
    <xf numFmtId="0" fontId="2" fillId="0" borderId="6" xfId="2" applyBorder="1" applyAlignment="1">
      <alignment horizontal="center" vertical="center" wrapText="1"/>
    </xf>
    <xf numFmtId="0" fontId="5" fillId="0" borderId="5" xfId="2" applyFont="1" applyBorder="1" applyAlignment="1" applyProtection="1">
      <alignment vertical="center" wrapText="1"/>
      <protection locked="0"/>
    </xf>
    <xf numFmtId="0" fontId="5" fillId="0" borderId="0" xfId="2" applyFont="1" applyAlignment="1" applyProtection="1">
      <alignment wrapText="1"/>
      <protection locked="0"/>
    </xf>
    <xf numFmtId="0" fontId="9" fillId="0" borderId="6" xfId="2" applyFont="1" applyBorder="1" applyAlignment="1">
      <alignment vertical="center" wrapText="1"/>
    </xf>
    <xf numFmtId="0" fontId="6" fillId="0" borderId="6" xfId="2" applyFont="1" applyBorder="1" applyAlignment="1">
      <alignment vertical="center" wrapText="1"/>
    </xf>
    <xf numFmtId="0" fontId="6" fillId="0" borderId="17" xfId="2" applyFont="1" applyBorder="1" applyAlignment="1">
      <alignment vertical="center" wrapText="1"/>
    </xf>
    <xf numFmtId="0" fontId="5" fillId="0" borderId="28" xfId="2" applyFont="1" applyBorder="1" applyAlignment="1">
      <alignment horizontal="center" vertical="center" wrapText="1"/>
    </xf>
    <xf numFmtId="0" fontId="2" fillId="0" borderId="16" xfId="2" applyBorder="1" applyAlignment="1" applyProtection="1">
      <alignment vertical="center" wrapText="1"/>
      <protection locked="0"/>
    </xf>
    <xf numFmtId="0" fontId="2" fillId="0" borderId="15" xfId="2" applyBorder="1" applyAlignment="1" applyProtection="1">
      <alignment vertical="center" wrapText="1"/>
      <protection locked="0"/>
    </xf>
    <xf numFmtId="0" fontId="2" fillId="0" borderId="14" xfId="2" applyBorder="1" applyAlignment="1" applyProtection="1">
      <alignment vertical="center" wrapText="1"/>
      <protection locked="0"/>
    </xf>
    <xf numFmtId="0" fontId="2" fillId="0" borderId="0" xfId="2" applyAlignment="1">
      <alignment vertical="center" wrapText="1"/>
    </xf>
    <xf numFmtId="0" fontId="5" fillId="0" borderId="23" xfId="2" applyFont="1" applyBorder="1" applyAlignment="1" applyProtection="1">
      <alignment horizontal="left" vertical="center" wrapText="1"/>
      <protection hidden="1"/>
    </xf>
    <xf numFmtId="0" fontId="5" fillId="0" borderId="22" xfId="2" applyFont="1" applyBorder="1" applyAlignment="1" applyProtection="1">
      <alignment horizontal="left" vertical="center" wrapText="1"/>
      <protection hidden="1"/>
    </xf>
    <xf numFmtId="0" fontId="5" fillId="0" borderId="21" xfId="2" applyFont="1" applyBorder="1" applyAlignment="1" applyProtection="1">
      <alignment horizontal="left" vertical="center" wrapText="1"/>
      <protection hidden="1"/>
    </xf>
    <xf numFmtId="0" fontId="5" fillId="0" borderId="29" xfId="2" applyFont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center" wrapText="1"/>
    </xf>
    <xf numFmtId="0" fontId="5" fillId="0" borderId="23" xfId="2" applyFont="1" applyBorder="1" applyAlignment="1">
      <alignment vertical="center" wrapText="1"/>
    </xf>
    <xf numFmtId="0" fontId="5" fillId="0" borderId="26" xfId="2" applyFont="1" applyBorder="1" applyAlignment="1" applyProtection="1">
      <alignment horizontal="center" vertical="center" wrapText="1"/>
      <protection locked="0"/>
    </xf>
    <xf numFmtId="0" fontId="5" fillId="0" borderId="25" xfId="2" applyFont="1" applyBorder="1" applyAlignment="1" applyProtection="1">
      <alignment horizontal="center" vertical="center" wrapText="1"/>
      <protection locked="0"/>
    </xf>
    <xf numFmtId="0" fontId="5" fillId="0" borderId="24" xfId="2" applyFont="1" applyBorder="1" applyAlignment="1" applyProtection="1">
      <alignment horizontal="center" vertical="center" wrapText="1"/>
      <protection locked="0"/>
    </xf>
    <xf numFmtId="0" fontId="6" fillId="0" borderId="0" xfId="2" applyFont="1" applyAlignment="1">
      <alignment horizontal="center" vertical="center" wrapText="1"/>
    </xf>
    <xf numFmtId="0" fontId="2" fillId="0" borderId="0" xfId="2" applyAlignment="1">
      <alignment horizontal="center" vertical="center" wrapText="1"/>
    </xf>
    <xf numFmtId="0" fontId="5" fillId="0" borderId="0" xfId="2" applyFont="1" applyAlignment="1">
      <alignment wrapText="1"/>
    </xf>
    <xf numFmtId="0" fontId="9" fillId="0" borderId="0" xfId="2" applyFont="1" applyAlignment="1">
      <alignment horizontal="center" vertical="center" wrapText="1"/>
    </xf>
    <xf numFmtId="0" fontId="2" fillId="0" borderId="5" xfId="2" applyBorder="1" applyAlignment="1" applyProtection="1">
      <alignment vertical="center" wrapText="1"/>
      <protection locked="0"/>
    </xf>
    <xf numFmtId="0" fontId="5" fillId="0" borderId="8" xfId="2" applyFont="1" applyBorder="1" applyAlignment="1">
      <alignment horizontal="center" vertical="center" wrapText="1"/>
    </xf>
    <xf numFmtId="0" fontId="5" fillId="0" borderId="7" xfId="2" applyFont="1" applyBorder="1" applyAlignment="1">
      <alignment horizontal="center" vertical="center" wrapText="1"/>
    </xf>
    <xf numFmtId="0" fontId="2" fillId="0" borderId="11" xfId="2" applyBorder="1" applyAlignment="1" applyProtection="1">
      <alignment vertical="center" wrapText="1"/>
      <protection locked="0"/>
    </xf>
    <xf numFmtId="0" fontId="2" fillId="0" borderId="0" xfId="2" applyAlignment="1" applyProtection="1">
      <alignment vertical="center" wrapText="1"/>
      <protection locked="0"/>
    </xf>
    <xf numFmtId="0" fontId="2" fillId="0" borderId="9" xfId="2" applyBorder="1" applyAlignment="1" applyProtection="1">
      <alignment vertical="center" wrapText="1"/>
      <protection locked="0"/>
    </xf>
    <xf numFmtId="0" fontId="2" fillId="0" borderId="13" xfId="2" applyBorder="1" applyAlignment="1" applyProtection="1">
      <alignment vertical="center" wrapText="1"/>
      <protection locked="0"/>
    </xf>
    <xf numFmtId="0" fontId="2" fillId="0" borderId="2" xfId="2" applyBorder="1" applyAlignment="1" applyProtection="1">
      <alignment vertical="center" wrapText="1"/>
      <protection locked="0"/>
    </xf>
    <xf numFmtId="0" fontId="2" fillId="0" borderId="12" xfId="2" applyBorder="1" applyAlignment="1" applyProtection="1">
      <alignment vertical="center" wrapText="1"/>
      <protection locked="0"/>
    </xf>
    <xf numFmtId="0" fontId="5" fillId="0" borderId="27" xfId="2" applyFont="1" applyBorder="1" applyAlignment="1">
      <alignment horizontal="center" vertical="center" wrapText="1"/>
    </xf>
    <xf numFmtId="0" fontId="5" fillId="0" borderId="20" xfId="2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 wrapText="1"/>
    </xf>
    <xf numFmtId="0" fontId="7" fillId="4" borderId="1" xfId="2" applyFont="1" applyFill="1" applyBorder="1" applyAlignment="1">
      <alignment horizontal="center" vertical="center" wrapText="1"/>
    </xf>
    <xf numFmtId="0" fontId="3" fillId="4" borderId="1" xfId="2" applyFont="1" applyFill="1" applyBorder="1" applyAlignment="1">
      <alignment horizontal="center" vertical="center" wrapText="1"/>
    </xf>
  </cellXfs>
  <cellStyles count="6">
    <cellStyle name="Обычный" xfId="0" builtinId="0"/>
    <cellStyle name="Обычный 2" xfId="2" xr:uid="{00000000-0005-0000-0000-000001000000}"/>
    <cellStyle name="Обычный_табл 2,3,4,5" xfId="4" xr:uid="{00000000-0005-0000-0000-000002000000}"/>
    <cellStyle name="Обычный_Табл 6,5,8" xfId="3" xr:uid="{00000000-0005-0000-0000-000003000000}"/>
    <cellStyle name="Обычный_Ф-П Титул" xfId="5" xr:uid="{00000000-0005-0000-0000-000004000000}"/>
    <cellStyle name="Финансовый" xfId="1" builtinId="3"/>
  </cellStyles>
  <dxfs count="44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scheme val="none"/>
      </font>
      <numFmt numFmtId="164" formatCode="_-* #,##0\ _₽_-;\-* #,##0\ _₽_-;_-* &quot;-&quot;??\ _₽_-;_-@_-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scheme val="none"/>
      </font>
      <numFmt numFmtId="164" formatCode="_-* #,##0\ _₽_-;\-* #,##0\ _₽_-;_-* &quot;-&quot;??\ _₽_-;_-@_-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scheme val="none"/>
      </font>
      <numFmt numFmtId="164" formatCode="_-* #,##0\ _₽_-;\-* #,##0\ _₽_-;_-* &quot;-&quot;??\ _₽_-;_-@_-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scheme val="none"/>
      </font>
      <numFmt numFmtId="164" formatCode="_-* #,##0\ _₽_-;\-* #,##0\ _₽_-;_-* &quot;-&quot;??\ _₽_-;_-@_-"/>
      <alignment horizontal="left" vertical="center" textRotation="0" wrapText="1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scheme val="none"/>
      </font>
      <numFmt numFmtId="164" formatCode="_-* #,##0\ _₽_-;\-* #,##0\ _₽_-;_-* &quot;-&quot;??\ _₽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164" formatCode="_-* #,##0\ _₽_-;\-* #,##0\ _₽_-;_-* &quot;-&quot;??\ _₽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scheme val="none"/>
      </font>
      <numFmt numFmtId="164" formatCode="_-* #,##0\ _₽_-;\-* #,##0\ _₽_-;_-* &quot;-&quot;??\ _₽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scheme val="none"/>
      </font>
      <numFmt numFmtId="164" formatCode="_-* #,##0\ _₽_-;\-* #,##0\ _₽_-;_-* &quot;-&quot;??\ _₽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scheme val="none"/>
      </font>
      <numFmt numFmtId="164" formatCode="_-* #,##0\ _₽_-;\-* #,##0\ _₽_-;_-* &quot;-&quot;??\ _₽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protection locked="1" hidden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scheme val="none"/>
      </font>
      <alignment horizontal="center" vertical="center" textRotation="0" wrapText="1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Р1" displayName="Р1" ref="A2:W358" totalsRowShown="0" headerRowDxfId="43" dataDxfId="42" tableBorderDxfId="41" headerRowCellStyle="Обычный 2" dataCellStyle="Обычный 2">
  <autoFilter ref="A2:W358" xr:uid="{00000000-0009-0000-0100-000001000000}"/>
  <tableColumns count="23">
    <tableColumn id="24" xr3:uid="{00000000-0010-0000-0000-000018000000}" name="Г." dataDxfId="40" dataCellStyle="Обычный 2"/>
    <tableColumn id="1" xr3:uid="{00000000-0010-0000-0000-000001000000}" name="Раздел 1. Оконч. дела по видам преступл. (без повторно оконченных) " dataDxfId="39" dataCellStyle="Обычный 2"/>
    <tableColumn id="2" xr3:uid="{00000000-0010-0000-0000-000002000000}" name="№" dataDxfId="38" dataCellStyle="Обычный 2"/>
    <tableColumn id="6" xr3:uid="{00000000-0010-0000-0000-000006000000}" name="ЗАРЕГ. (дел)" dataDxfId="37" dataCellStyle="Обычный 2"/>
    <tableColumn id="7" xr3:uid="{00000000-0010-0000-0000-000007000000}" name="В СУД (дел)" dataDxfId="36" dataCellStyle="Обычный 2"/>
    <tableColumn id="8" xr3:uid="{00000000-0010-0000-0000-000008000000}" name="ОБВИН. (лиц)" dataDxfId="35" dataCellStyle="Обычный 2"/>
    <tableColumn id="9" xr3:uid="{00000000-0010-0000-0000-000009000000}" name="ПРЕКРАЩ. (дел)" dataDxfId="34" dataCellStyle="Обычный 2"/>
    <tableColumn id="10" xr3:uid="{00000000-0010-0000-0000-00000A000000}" name="ЗАРЕГ. (дел) 2" dataDxfId="33" dataCellStyle="Обычный 2"/>
    <tableColumn id="11" xr3:uid="{00000000-0010-0000-0000-00000B000000}" name="В СУД (дел) 2" dataDxfId="32" dataCellStyle="Обычный 2"/>
    <tableColumn id="12" xr3:uid="{00000000-0010-0000-0000-00000C000000}" name="ОБВИН. (лиц) 2" dataDxfId="31" dataCellStyle="Обычный 2"/>
    <tableColumn id="13" xr3:uid="{00000000-0010-0000-0000-00000D000000}" name="ПРЕКРАЩ. (дел) 2" dataDxfId="30" dataCellStyle="Обычный 2"/>
    <tableColumn id="14" xr3:uid="{00000000-0010-0000-0000-00000E000000}" name="ЗАРЕГ. (дел) 3" dataDxfId="29" dataCellStyle="Обычный 2"/>
    <tableColumn id="15" xr3:uid="{00000000-0010-0000-0000-00000F000000}" name="В СУД (дел) 3" dataDxfId="28" dataCellStyle="Обычный 2"/>
    <tableColumn id="16" xr3:uid="{00000000-0010-0000-0000-000010000000}" name="ОБВИН. (лиц) 3" dataDxfId="27" dataCellStyle="Обычный 2"/>
    <tableColumn id="17" xr3:uid="{00000000-0010-0000-0000-000011000000}" name="ПРЕКРАЩ. (дел) 3" dataDxfId="26" dataCellStyle="Обычный 2"/>
    <tableColumn id="18" xr3:uid="{00000000-0010-0000-0000-000012000000}" name="ЗАРЕГ. (дел) 4" dataDxfId="25" dataCellStyle="Обычный 2"/>
    <tableColumn id="19" xr3:uid="{00000000-0010-0000-0000-000013000000}" name="В СУД (дел) 4" dataDxfId="24" dataCellStyle="Обычный 2"/>
    <tableColumn id="20" xr3:uid="{00000000-0010-0000-0000-000014000000}" name="ОБВИН. (лиц) 4" dataDxfId="23" dataCellStyle="Обычный 2"/>
    <tableColumn id="21" xr3:uid="{00000000-0010-0000-0000-000015000000}" name="ПРЕКРАЩ. (дел) 4" dataDxfId="22" dataCellStyle="Обычный 2"/>
    <tableColumn id="22" xr3:uid="{00000000-0010-0000-0000-000016000000}" name="в т.ч. соверш. женщ. (лиц)" dataDxfId="21" dataCellStyle="Обычный 2"/>
    <tableColumn id="23" xr3:uid="{00000000-0010-0000-0000-000017000000}" name="в т.ч. соверш. реб. (лиц)" dataDxfId="20" dataCellStyle="Обычный 2"/>
    <tableColumn id="3" xr3:uid="{00000000-0010-0000-0000-000003000000}" name="в т.ч. соверш. в отн. женщ. (лиц)" dataDxfId="19" dataCellStyle="Обычный 2"/>
    <tableColumn id="4" xr3:uid="{00000000-0010-0000-0000-000004000000}" name="в т.ч. соверш. в отнош. реб. (лиц)" dataDxfId="18" dataCellStyle="Обычный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Р2" displayName="Р2" ref="A1:M320" totalsRowShown="0" headerRowDxfId="17" dataDxfId="15" headerRowBorderDxfId="16" tableBorderDxfId="14" headerRowCellStyle="Обычный 2" dataCellStyle="Обычный 2">
  <autoFilter ref="A1:M320" xr:uid="{00000000-0009-0000-0100-000003000000}"/>
  <tableColumns count="13">
    <tableColumn id="1" xr3:uid="{00000000-0010-0000-0100-000001000000}" name="Р." dataDxfId="13"/>
    <tableColumn id="2" xr3:uid="{00000000-0010-0000-0100-000002000000}" name="Наим.строки" dataDxfId="12" dataCellStyle="Обычный_табл 2,3,4,5"/>
    <tableColumn id="3" xr3:uid="{00000000-0010-0000-0100-000003000000}" name="№" dataDxfId="11" dataCellStyle="Обычный 2"/>
    <tableColumn id="4" xr3:uid="{00000000-0010-0000-0100-000004000000}" name="Прокуратура" dataDxfId="10"/>
    <tableColumn id="5" xr3:uid="{00000000-0010-0000-0100-000005000000}" name="МВД" dataDxfId="9"/>
    <tableColumn id="6" xr3:uid="{00000000-0010-0000-0100-000006000000}" name="ГКНБ" dataDxfId="8"/>
    <tableColumn id="7" xr3:uid="{00000000-0010-0000-0100-000007000000}" name="ГСИН" dataDxfId="7"/>
    <tableColumn id="13" xr3:uid="{00000000-0010-0000-0100-00000D000000}" name="Проверка" dataDxfId="6" dataCellStyle="Обычный 2">
      <calculatedColumnFormula>CONCATENATE(Р2[[#This Row],[Пр. ПРОК]]," ",Р2[[#This Row],[Пр. МВД]]," ",Р2[[#This Row],[Пр. ГКНБ]]," ",Р2[[#This Row],[Пр. ГСИН]])</calculatedColumnFormula>
    </tableColumn>
    <tableColumn id="8" xr3:uid="{00000000-0010-0000-0100-000008000000}" name="Пр. ПРОК" dataDxfId="5" dataCellStyle="Обычный 2"/>
    <tableColumn id="11" xr3:uid="{00000000-0010-0000-0100-00000B000000}" name="Пр. МВД" dataDxfId="4" dataCellStyle="Обычный 2"/>
    <tableColumn id="9" xr3:uid="{00000000-0010-0000-0100-000009000000}" name="Пр. ГКНБ" dataDxfId="3" dataCellStyle="Обычный 2"/>
    <tableColumn id="12" xr3:uid="{00000000-0010-0000-0100-00000C000000}" name="Пр. ГСИН" dataDxfId="2" dataCellStyle="Обычный 2"/>
    <tableColumn id="10" xr3:uid="{00000000-0010-0000-0100-00000A000000}" name="Комментарии" dataDxfId="1" dataCellStyle="Обычный 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ШИФР" displayName="ШИФР" ref="A1:B176" totalsRowShown="0">
  <autoFilter ref="A1:B176" xr:uid="{00000000-0009-0000-0100-000002000000}"/>
  <tableColumns count="2">
    <tableColumn id="3" xr3:uid="{00000000-0010-0000-0200-000003000000}" name="орган" dataDxfId="0"/>
    <tableColumn id="2" xr3:uid="{00000000-0010-0000-0200-000002000000}" name="шиф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tabColor rgb="FFFFFF00"/>
    <pageSetUpPr fitToPage="1"/>
  </sheetPr>
  <dimension ref="A1:V36"/>
  <sheetViews>
    <sheetView showGridLines="0" showRowColHeaders="0" showZeros="0" view="pageBreakPreview" zoomScaleSheetLayoutView="100" workbookViewId="0">
      <selection activeCell="A35" sqref="A35:T35"/>
    </sheetView>
  </sheetViews>
  <sheetFormatPr defaultColWidth="5.7109375" defaultRowHeight="12.75" x14ac:dyDescent="0.25"/>
  <cols>
    <col min="1" max="16384" width="5.7109375" style="1"/>
  </cols>
  <sheetData>
    <row r="1" spans="1:22" ht="28.5" customHeight="1" x14ac:dyDescent="0.25">
      <c r="A1" s="174" t="s">
        <v>496</v>
      </c>
      <c r="B1" s="174"/>
      <c r="C1" s="174"/>
      <c r="D1" s="174"/>
      <c r="E1" s="174"/>
      <c r="F1" s="174"/>
      <c r="G1" s="174"/>
      <c r="H1" s="174"/>
      <c r="I1" s="174"/>
      <c r="J1" s="3"/>
      <c r="L1" s="173" t="s">
        <v>495</v>
      </c>
      <c r="M1" s="173"/>
      <c r="N1" s="173"/>
      <c r="O1" s="173"/>
      <c r="P1" s="173"/>
      <c r="Q1" s="173"/>
      <c r="R1" s="173"/>
      <c r="S1" s="173"/>
      <c r="T1" s="173"/>
      <c r="U1" s="12"/>
      <c r="V1" s="12"/>
    </row>
    <row r="2" spans="1:22" ht="69.75" customHeight="1" thickBot="1" x14ac:dyDescent="0.3">
      <c r="A2" s="178" t="s">
        <v>845</v>
      </c>
      <c r="B2" s="178"/>
      <c r="C2" s="178"/>
      <c r="D2" s="178"/>
      <c r="E2" s="178"/>
      <c r="F2" s="178"/>
      <c r="G2" s="178"/>
      <c r="H2" s="178"/>
      <c r="I2" s="178"/>
      <c r="J2" s="34"/>
      <c r="K2" s="35"/>
      <c r="L2" s="178" t="s">
        <v>846</v>
      </c>
      <c r="M2" s="178"/>
      <c r="N2" s="178"/>
      <c r="O2" s="178"/>
      <c r="P2" s="178"/>
      <c r="Q2" s="178"/>
      <c r="R2" s="178"/>
      <c r="S2" s="178"/>
      <c r="T2" s="178"/>
    </row>
    <row r="3" spans="1:22" ht="70.5" customHeight="1" thickTop="1" thickBot="1" x14ac:dyDescent="0.3">
      <c r="A3" s="170" t="s">
        <v>494</v>
      </c>
      <c r="B3" s="171"/>
      <c r="C3" s="171"/>
      <c r="D3" s="171"/>
      <c r="E3" s="171"/>
      <c r="F3" s="171"/>
      <c r="G3" s="171"/>
      <c r="H3" s="171"/>
      <c r="I3" s="172"/>
      <c r="L3" s="170" t="s">
        <v>493</v>
      </c>
      <c r="M3" s="171"/>
      <c r="N3" s="171"/>
      <c r="O3" s="171"/>
      <c r="P3" s="171"/>
      <c r="Q3" s="171"/>
      <c r="R3" s="171"/>
      <c r="S3" s="171"/>
      <c r="T3" s="172"/>
    </row>
    <row r="4" spans="1:22" ht="14.25" thickTop="1" thickBot="1" x14ac:dyDescent="0.3"/>
    <row r="5" spans="1:22" ht="14.25" thickTop="1" thickBot="1" x14ac:dyDescent="0.3">
      <c r="A5" s="175" t="s">
        <v>492</v>
      </c>
      <c r="B5" s="176"/>
      <c r="C5" s="176"/>
      <c r="D5" s="176"/>
      <c r="E5" s="176"/>
      <c r="F5" s="176"/>
      <c r="G5" s="176"/>
      <c r="H5" s="176"/>
      <c r="I5" s="177"/>
      <c r="L5" s="175" t="s">
        <v>491</v>
      </c>
      <c r="M5" s="176"/>
      <c r="N5" s="176"/>
      <c r="O5" s="176"/>
      <c r="P5" s="176"/>
      <c r="Q5" s="177"/>
      <c r="S5" s="175">
        <v>6126073</v>
      </c>
      <c r="T5" s="177"/>
    </row>
    <row r="6" spans="1:22" ht="14.25" thickTop="1" thickBot="1" x14ac:dyDescent="0.3">
      <c r="S6" s="185" t="s">
        <v>490</v>
      </c>
      <c r="T6" s="185"/>
    </row>
    <row r="7" spans="1:22" ht="14.25" thickTop="1" thickBot="1" x14ac:dyDescent="0.3">
      <c r="A7" s="175" t="s">
        <v>489</v>
      </c>
      <c r="B7" s="176"/>
      <c r="C7" s="176"/>
      <c r="D7" s="176"/>
      <c r="E7" s="176"/>
      <c r="F7" s="176"/>
      <c r="G7" s="176"/>
      <c r="H7" s="176"/>
      <c r="I7" s="177"/>
      <c r="L7" s="175" t="s">
        <v>488</v>
      </c>
      <c r="M7" s="176"/>
      <c r="N7" s="176"/>
      <c r="O7" s="176"/>
      <c r="P7" s="176"/>
      <c r="Q7" s="177"/>
      <c r="S7" s="189" t="s">
        <v>487</v>
      </c>
      <c r="T7" s="189"/>
    </row>
    <row r="8" spans="1:22" ht="14.25" thickTop="1" thickBot="1" x14ac:dyDescent="0.3"/>
    <row r="9" spans="1:22" ht="40.5" customHeight="1" thickTop="1" thickBot="1" x14ac:dyDescent="0.3">
      <c r="A9" s="190" t="s">
        <v>923</v>
      </c>
      <c r="B9" s="191"/>
      <c r="C9" s="191"/>
      <c r="D9" s="191"/>
      <c r="E9" s="191"/>
      <c r="F9" s="191"/>
      <c r="G9" s="191"/>
      <c r="H9" s="191"/>
      <c r="I9" s="192"/>
      <c r="J9" s="35"/>
      <c r="K9" s="35"/>
      <c r="L9" s="190" t="s">
        <v>922</v>
      </c>
      <c r="M9" s="191"/>
      <c r="N9" s="191"/>
      <c r="O9" s="191"/>
      <c r="P9" s="191"/>
      <c r="Q9" s="191"/>
      <c r="R9" s="191"/>
      <c r="S9" s="191"/>
      <c r="T9" s="192"/>
    </row>
    <row r="10" spans="1:22" ht="14.25" thickTop="1" thickBot="1" x14ac:dyDescent="0.3"/>
    <row r="11" spans="1:22" ht="39.75" customHeight="1" thickTop="1" x14ac:dyDescent="0.25">
      <c r="A11" s="193" t="s">
        <v>847</v>
      </c>
      <c r="B11" s="185"/>
      <c r="C11" s="185"/>
      <c r="D11" s="185"/>
      <c r="E11" s="185"/>
      <c r="F11" s="185"/>
      <c r="G11" s="185"/>
      <c r="H11" s="185"/>
      <c r="I11" s="185"/>
      <c r="J11" s="11"/>
      <c r="K11" s="11"/>
      <c r="L11" s="185" t="s">
        <v>486</v>
      </c>
      <c r="M11" s="185"/>
      <c r="N11" s="185"/>
      <c r="O11" s="185"/>
      <c r="P11" s="185"/>
      <c r="Q11" s="185"/>
      <c r="R11" s="185"/>
      <c r="S11" s="185"/>
      <c r="T11" s="212"/>
    </row>
    <row r="12" spans="1:22" ht="24" customHeight="1" thickBot="1" x14ac:dyDescent="0.3">
      <c r="A12" s="196" t="s">
        <v>938</v>
      </c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  <c r="R12" s="197"/>
      <c r="S12" s="197"/>
      <c r="T12" s="198"/>
    </row>
    <row r="13" spans="1:22" ht="14.25" thickTop="1" thickBot="1" x14ac:dyDescent="0.3"/>
    <row r="14" spans="1:22" ht="102.75" customHeight="1" thickTop="1" thickBot="1" x14ac:dyDescent="0.3">
      <c r="A14" s="170" t="s">
        <v>925</v>
      </c>
      <c r="B14" s="171"/>
      <c r="C14" s="171"/>
      <c r="D14" s="171"/>
      <c r="E14" s="171"/>
      <c r="F14" s="171"/>
      <c r="G14" s="171"/>
      <c r="H14" s="171"/>
      <c r="I14" s="172"/>
      <c r="L14" s="195" t="s">
        <v>924</v>
      </c>
      <c r="M14" s="171"/>
      <c r="N14" s="171"/>
      <c r="O14" s="171"/>
      <c r="P14" s="171"/>
      <c r="Q14" s="171"/>
      <c r="R14" s="171"/>
      <c r="S14" s="171"/>
      <c r="T14" s="172"/>
    </row>
    <row r="15" spans="1:22" ht="14.25" thickTop="1" thickBot="1" x14ac:dyDescent="0.3"/>
    <row r="16" spans="1:22" ht="24" customHeight="1" thickBot="1" x14ac:dyDescent="0.3">
      <c r="A16" s="213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5"/>
      <c r="M16" s="10"/>
      <c r="N16" s="10"/>
      <c r="O16" s="10"/>
      <c r="P16" s="10"/>
      <c r="Q16" s="10"/>
      <c r="R16" s="10"/>
      <c r="S16" s="10"/>
      <c r="T16" s="10"/>
    </row>
    <row r="17" spans="1:20" x14ac:dyDescent="0.25">
      <c r="A17" s="5"/>
      <c r="O17" s="194" t="s">
        <v>485</v>
      </c>
      <c r="P17" s="194"/>
      <c r="Q17" s="194"/>
      <c r="T17" s="9"/>
    </row>
    <row r="18" spans="1:20" ht="36.75" customHeight="1" x14ac:dyDescent="0.25">
      <c r="A18" s="186" t="s">
        <v>484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188"/>
    </row>
    <row r="19" spans="1:20" s="6" customFormat="1" ht="24" customHeight="1" thickBot="1" x14ac:dyDescent="0.3">
      <c r="A19" s="8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 x14ac:dyDescent="0.25">
      <c r="A20" s="5"/>
      <c r="G20" s="182" t="s">
        <v>483</v>
      </c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4"/>
    </row>
    <row r="21" spans="1:20" ht="38.25" customHeight="1" x14ac:dyDescent="0.25">
      <c r="A21" s="186" t="s">
        <v>482</v>
      </c>
      <c r="B21" s="187"/>
      <c r="C21" s="187"/>
      <c r="D21" s="187"/>
      <c r="E21" s="187"/>
      <c r="F21" s="187"/>
      <c r="G21" s="187"/>
      <c r="H21" s="187"/>
      <c r="I21" s="187"/>
      <c r="J21" s="187"/>
      <c r="K21" s="187"/>
      <c r="L21" s="187"/>
      <c r="M21" s="187"/>
      <c r="N21" s="187"/>
      <c r="O21" s="187"/>
      <c r="P21" s="187"/>
      <c r="Q21" s="187"/>
      <c r="R21" s="187"/>
      <c r="S21" s="187"/>
      <c r="T21" s="188"/>
    </row>
    <row r="22" spans="1:20" ht="35.25" customHeight="1" x14ac:dyDescent="0.25">
      <c r="A22" s="209" t="s">
        <v>481</v>
      </c>
      <c r="B22" s="210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1"/>
    </row>
    <row r="23" spans="1:20" ht="35.25" customHeight="1" thickBot="1" x14ac:dyDescent="0.3">
      <c r="A23" s="206" t="s">
        <v>480</v>
      </c>
      <c r="B23" s="207"/>
      <c r="C23" s="207"/>
      <c r="D23" s="207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4"/>
      <c r="Q23" s="4"/>
      <c r="R23" s="4"/>
      <c r="S23" s="4"/>
      <c r="T23" s="4"/>
    </row>
    <row r="24" spans="1:20" ht="14.25" customHeight="1" thickBot="1" x14ac:dyDescent="0.3">
      <c r="A24" s="208"/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4" t="s">
        <v>479</v>
      </c>
      <c r="Q24" s="204"/>
      <c r="R24" s="204"/>
      <c r="S24" s="204"/>
      <c r="T24" s="205"/>
    </row>
    <row r="26" spans="1:20" ht="34.5" customHeight="1" thickBot="1" x14ac:dyDescent="0.25">
      <c r="A26" s="181" t="s">
        <v>939</v>
      </c>
      <c r="B26" s="181"/>
      <c r="C26" s="181"/>
      <c r="D26" s="181"/>
      <c r="E26" s="181"/>
      <c r="F26" s="181"/>
      <c r="G26" s="181"/>
      <c r="H26" s="180" t="s">
        <v>940</v>
      </c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</row>
    <row r="27" spans="1:20" x14ac:dyDescent="0.25">
      <c r="A27" s="3"/>
      <c r="B27" s="3"/>
      <c r="C27" s="3"/>
      <c r="D27" s="3"/>
      <c r="E27" s="3"/>
      <c r="F27" s="3"/>
      <c r="G27" s="3"/>
      <c r="H27" s="179" t="s">
        <v>478</v>
      </c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</row>
    <row r="28" spans="1:20" ht="25.5" customHeight="1" x14ac:dyDescent="0.25"/>
    <row r="29" spans="1:20" ht="25.5" customHeight="1" thickBot="1" x14ac:dyDescent="0.25">
      <c r="A29" s="201" t="s">
        <v>477</v>
      </c>
      <c r="B29" s="201"/>
      <c r="C29" s="201"/>
      <c r="D29" s="180" t="s">
        <v>941</v>
      </c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Q29" s="203"/>
      <c r="R29" s="203"/>
      <c r="S29" s="203"/>
      <c r="T29" s="203"/>
    </row>
    <row r="30" spans="1:20" x14ac:dyDescent="0.25">
      <c r="A30" s="174" t="s">
        <v>476</v>
      </c>
      <c r="B30" s="174"/>
      <c r="C30" s="174"/>
      <c r="D30" s="200" t="s">
        <v>475</v>
      </c>
      <c r="E30" s="200"/>
      <c r="F30" s="200"/>
      <c r="G30" s="200"/>
      <c r="H30" s="200"/>
      <c r="I30" s="200"/>
      <c r="J30" s="200"/>
      <c r="K30" s="200"/>
      <c r="L30" s="200"/>
      <c r="M30" s="200"/>
      <c r="N30" s="200"/>
      <c r="O30" s="200"/>
      <c r="Q30" s="200" t="s">
        <v>474</v>
      </c>
      <c r="R30" s="200"/>
      <c r="S30" s="200"/>
      <c r="T30" s="200"/>
    </row>
    <row r="33" spans="1:20" ht="32.25" customHeight="1" x14ac:dyDescent="0.25">
      <c r="A33" s="202" t="s">
        <v>473</v>
      </c>
      <c r="B33" s="202"/>
      <c r="C33" s="202"/>
      <c r="D33" s="202"/>
      <c r="E33" s="202"/>
      <c r="F33" s="202"/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</row>
    <row r="35" spans="1:20" x14ac:dyDescent="0.25">
      <c r="A35" s="199" t="s">
        <v>472</v>
      </c>
      <c r="B35" s="199"/>
      <c r="C35" s="199"/>
      <c r="D35" s="199"/>
      <c r="E35" s="199"/>
      <c r="F35" s="199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99"/>
      <c r="R35" s="199"/>
      <c r="S35" s="199"/>
      <c r="T35" s="199"/>
    </row>
    <row r="36" spans="1:20" x14ac:dyDescent="0.25">
      <c r="A36" s="2"/>
    </row>
  </sheetData>
  <sheetProtection selectLockedCells="1"/>
  <mergeCells count="39">
    <mergeCell ref="P24:T24"/>
    <mergeCell ref="A23:O24"/>
    <mergeCell ref="A22:T22"/>
    <mergeCell ref="L9:T9"/>
    <mergeCell ref="L11:T11"/>
    <mergeCell ref="A16:L16"/>
    <mergeCell ref="A35:T35"/>
    <mergeCell ref="A30:C30"/>
    <mergeCell ref="D29:O29"/>
    <mergeCell ref="D30:O30"/>
    <mergeCell ref="A29:C29"/>
    <mergeCell ref="A33:T33"/>
    <mergeCell ref="Q30:T30"/>
    <mergeCell ref="Q29:T29"/>
    <mergeCell ref="H27:T27"/>
    <mergeCell ref="H26:T26"/>
    <mergeCell ref="A26:G26"/>
    <mergeCell ref="G20:T20"/>
    <mergeCell ref="S6:T6"/>
    <mergeCell ref="L7:Q7"/>
    <mergeCell ref="A18:T18"/>
    <mergeCell ref="A21:T21"/>
    <mergeCell ref="S7:T7"/>
    <mergeCell ref="A7:I7"/>
    <mergeCell ref="A14:I14"/>
    <mergeCell ref="A9:I9"/>
    <mergeCell ref="A11:I11"/>
    <mergeCell ref="O17:Q17"/>
    <mergeCell ref="L14:T14"/>
    <mergeCell ref="A12:T12"/>
    <mergeCell ref="L3:T3"/>
    <mergeCell ref="L1:T1"/>
    <mergeCell ref="A1:I1"/>
    <mergeCell ref="A5:I5"/>
    <mergeCell ref="L5:Q5"/>
    <mergeCell ref="S5:T5"/>
    <mergeCell ref="A2:I2"/>
    <mergeCell ref="L2:T2"/>
    <mergeCell ref="A3:I3"/>
  </mergeCells>
  <pageMargins left="0.39370078740157483" right="0.39370078740157483" top="0.39370078740157483" bottom="0.39370078740157483" header="0.39370078740157483" footer="0.39370078740157483"/>
  <pageSetup paperSize="9" scale="83" orientation="portrait" blackAndWhite="1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83CD8E-B3BB-429F-A53A-AAC01C4A429B}">
          <x14:formula1>
            <xm:f>БАЗА!$A$2:$A$176</xm:f>
          </x14:formula1>
          <xm:sqref>A16:L16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tabColor rgb="FF92D050"/>
    <pageSetUpPr fitToPage="1"/>
  </sheetPr>
  <dimension ref="A1:W656"/>
  <sheetViews>
    <sheetView showZeros="0" tabSelected="1" view="pageBreakPreview" zoomScale="115" zoomScaleNormal="70" zoomScaleSheetLayoutView="115" workbookViewId="0">
      <pane xSplit="2" ySplit="2" topLeftCell="C298" activePane="bottomRight" state="frozen"/>
      <selection pane="topRight" activeCell="B1" sqref="B1"/>
      <selection pane="bottomLeft" activeCell="A3" sqref="A3"/>
      <selection pane="bottomRight" activeCell="H309" sqref="H309"/>
    </sheetView>
  </sheetViews>
  <sheetFormatPr defaultColWidth="5.7109375" defaultRowHeight="15" x14ac:dyDescent="0.25"/>
  <cols>
    <col min="1" max="1" width="3.5703125" style="19" customWidth="1"/>
    <col min="2" max="2" width="20.7109375" style="19" customWidth="1"/>
    <col min="3" max="3" width="6.7109375" style="25" customWidth="1"/>
    <col min="4" max="4" width="7.140625" style="25" customWidth="1"/>
    <col min="5" max="19" width="7.140625" style="19" customWidth="1"/>
    <col min="20" max="23" width="8.7109375" style="19" customWidth="1"/>
    <col min="24" max="16384" width="5.7109375" style="19"/>
  </cols>
  <sheetData>
    <row r="1" spans="1:23" x14ac:dyDescent="0.25">
      <c r="B1" s="20"/>
      <c r="C1" s="21"/>
      <c r="D1" s="219" t="s">
        <v>807</v>
      </c>
      <c r="E1" s="220"/>
      <c r="F1" s="220"/>
      <c r="G1" s="220"/>
      <c r="H1" s="216" t="s">
        <v>503</v>
      </c>
      <c r="I1" s="217"/>
      <c r="J1" s="217"/>
      <c r="K1" s="217"/>
      <c r="L1" s="218" t="s">
        <v>15</v>
      </c>
      <c r="M1" s="217"/>
      <c r="N1" s="217"/>
      <c r="O1" s="217"/>
      <c r="P1" s="216" t="s">
        <v>502</v>
      </c>
      <c r="Q1" s="217"/>
      <c r="R1" s="217"/>
      <c r="S1" s="217"/>
      <c r="T1" s="22"/>
      <c r="U1" s="22"/>
      <c r="V1" s="151"/>
      <c r="W1" s="151"/>
    </row>
    <row r="2" spans="1:23" ht="102.75" customHeight="1" x14ac:dyDescent="0.25">
      <c r="A2" s="36" t="s">
        <v>521</v>
      </c>
      <c r="B2" s="37" t="s">
        <v>823</v>
      </c>
      <c r="C2" s="38" t="s">
        <v>500</v>
      </c>
      <c r="D2" s="39" t="s">
        <v>497</v>
      </c>
      <c r="E2" s="39" t="s">
        <v>498</v>
      </c>
      <c r="F2" s="39" t="s">
        <v>871</v>
      </c>
      <c r="G2" s="39" t="s">
        <v>499</v>
      </c>
      <c r="H2" s="40" t="s">
        <v>852</v>
      </c>
      <c r="I2" s="40" t="s">
        <v>853</v>
      </c>
      <c r="J2" s="40" t="s">
        <v>872</v>
      </c>
      <c r="K2" s="40" t="s">
        <v>854</v>
      </c>
      <c r="L2" s="39" t="s">
        <v>855</v>
      </c>
      <c r="M2" s="39" t="s">
        <v>856</v>
      </c>
      <c r="N2" s="39" t="s">
        <v>873</v>
      </c>
      <c r="O2" s="39" t="s">
        <v>857</v>
      </c>
      <c r="P2" s="40" t="s">
        <v>858</v>
      </c>
      <c r="Q2" s="40" t="s">
        <v>859</v>
      </c>
      <c r="R2" s="40" t="s">
        <v>874</v>
      </c>
      <c r="S2" s="40" t="s">
        <v>860</v>
      </c>
      <c r="T2" s="41" t="s">
        <v>875</v>
      </c>
      <c r="U2" s="42" t="s">
        <v>876</v>
      </c>
      <c r="V2" s="152" t="s">
        <v>877</v>
      </c>
      <c r="W2" s="153" t="s">
        <v>878</v>
      </c>
    </row>
    <row r="3" spans="1:23" ht="15.75" x14ac:dyDescent="0.25">
      <c r="A3" s="43"/>
      <c r="B3" s="44"/>
      <c r="C3" s="45">
        <v>0</v>
      </c>
      <c r="D3" s="46">
        <v>1</v>
      </c>
      <c r="E3" s="46">
        <v>2</v>
      </c>
      <c r="F3" s="46">
        <v>3</v>
      </c>
      <c r="G3" s="46">
        <v>4</v>
      </c>
      <c r="H3" s="45">
        <v>5</v>
      </c>
      <c r="I3" s="45">
        <v>6</v>
      </c>
      <c r="J3" s="45">
        <v>7</v>
      </c>
      <c r="K3" s="45">
        <v>8</v>
      </c>
      <c r="L3" s="46">
        <v>9</v>
      </c>
      <c r="M3" s="46">
        <v>10</v>
      </c>
      <c r="N3" s="46">
        <v>11</v>
      </c>
      <c r="O3" s="46">
        <v>12</v>
      </c>
      <c r="P3" s="45">
        <v>13</v>
      </c>
      <c r="Q3" s="45">
        <v>14</v>
      </c>
      <c r="R3" s="45">
        <v>15</v>
      </c>
      <c r="S3" s="45">
        <v>16</v>
      </c>
      <c r="T3" s="47">
        <v>17</v>
      </c>
      <c r="U3" s="48">
        <v>18</v>
      </c>
      <c r="V3" s="154">
        <v>19</v>
      </c>
      <c r="W3" s="155">
        <v>20</v>
      </c>
    </row>
    <row r="4" spans="1:23" s="23" customFormat="1" ht="18" customHeight="1" x14ac:dyDescent="0.25">
      <c r="A4" s="49" t="s">
        <v>471</v>
      </c>
      <c r="B4" s="50"/>
      <c r="C4" s="45">
        <v>1</v>
      </c>
      <c r="D4" s="51">
        <f t="shared" ref="D4:W4" si="0">D5+D14+D25+D32+D42+D46+D56+D64+D82</f>
        <v>0</v>
      </c>
      <c r="E4" s="51">
        <f t="shared" si="0"/>
        <v>0</v>
      </c>
      <c r="F4" s="52">
        <f t="shared" si="0"/>
        <v>0</v>
      </c>
      <c r="G4" s="51">
        <f t="shared" si="0"/>
        <v>0</v>
      </c>
      <c r="H4" s="53">
        <f t="shared" si="0"/>
        <v>250</v>
      </c>
      <c r="I4" s="53">
        <f t="shared" si="0"/>
        <v>152</v>
      </c>
      <c r="J4" s="53">
        <f t="shared" si="0"/>
        <v>183</v>
      </c>
      <c r="K4" s="53">
        <f t="shared" si="0"/>
        <v>53</v>
      </c>
      <c r="L4" s="51">
        <f t="shared" si="0"/>
        <v>0</v>
      </c>
      <c r="M4" s="51">
        <f t="shared" si="0"/>
        <v>0</v>
      </c>
      <c r="N4" s="51">
        <f t="shared" si="0"/>
        <v>0</v>
      </c>
      <c r="O4" s="51">
        <f t="shared" si="0"/>
        <v>0</v>
      </c>
      <c r="P4" s="53">
        <f t="shared" si="0"/>
        <v>0</v>
      </c>
      <c r="Q4" s="53">
        <f t="shared" si="0"/>
        <v>0</v>
      </c>
      <c r="R4" s="53">
        <f t="shared" si="0"/>
        <v>0</v>
      </c>
      <c r="S4" s="53">
        <f t="shared" si="0"/>
        <v>0</v>
      </c>
      <c r="T4" s="54">
        <f t="shared" si="0"/>
        <v>22</v>
      </c>
      <c r="U4" s="54">
        <f t="shared" si="0"/>
        <v>3</v>
      </c>
      <c r="V4" s="135">
        <f t="shared" si="0"/>
        <v>102</v>
      </c>
      <c r="W4" s="135">
        <f t="shared" si="0"/>
        <v>22</v>
      </c>
    </row>
    <row r="5" spans="1:23" ht="18" customHeight="1" x14ac:dyDescent="0.25">
      <c r="A5" s="49" t="s">
        <v>470</v>
      </c>
      <c r="B5" s="50"/>
      <c r="C5" s="45">
        <v>2</v>
      </c>
      <c r="D5" s="51">
        <f>SUM(D6:D13)</f>
        <v>0</v>
      </c>
      <c r="E5" s="51">
        <f t="shared" ref="E5:U5" si="1">SUM(E6:E13)</f>
        <v>0</v>
      </c>
      <c r="F5" s="51">
        <f t="shared" si="1"/>
        <v>0</v>
      </c>
      <c r="G5" s="51">
        <f t="shared" si="1"/>
        <v>0</v>
      </c>
      <c r="H5" s="53">
        <f t="shared" si="1"/>
        <v>10</v>
      </c>
      <c r="I5" s="53">
        <f t="shared" si="1"/>
        <v>8</v>
      </c>
      <c r="J5" s="53">
        <f t="shared" si="1"/>
        <v>10</v>
      </c>
      <c r="K5" s="53">
        <f t="shared" si="1"/>
        <v>0</v>
      </c>
      <c r="L5" s="51">
        <f t="shared" si="1"/>
        <v>0</v>
      </c>
      <c r="M5" s="51">
        <f t="shared" si="1"/>
        <v>0</v>
      </c>
      <c r="N5" s="51">
        <f t="shared" si="1"/>
        <v>0</v>
      </c>
      <c r="O5" s="51">
        <f t="shared" si="1"/>
        <v>0</v>
      </c>
      <c r="P5" s="53">
        <f t="shared" si="1"/>
        <v>0</v>
      </c>
      <c r="Q5" s="53">
        <f t="shared" si="1"/>
        <v>0</v>
      </c>
      <c r="R5" s="53">
        <f t="shared" si="1"/>
        <v>0</v>
      </c>
      <c r="S5" s="53">
        <f t="shared" si="1"/>
        <v>0</v>
      </c>
      <c r="T5" s="54">
        <f t="shared" si="1"/>
        <v>0</v>
      </c>
      <c r="U5" s="54">
        <f t="shared" si="1"/>
        <v>0</v>
      </c>
      <c r="V5" s="135">
        <f t="shared" ref="V5:W5" si="2">SUM(V6:V13)</f>
        <v>1</v>
      </c>
      <c r="W5" s="135">
        <f t="shared" si="2"/>
        <v>0</v>
      </c>
    </row>
    <row r="6" spans="1:23" ht="18" customHeight="1" x14ac:dyDescent="0.25">
      <c r="A6" s="55" t="s">
        <v>470</v>
      </c>
      <c r="B6" s="56" t="s">
        <v>469</v>
      </c>
      <c r="C6" s="45">
        <v>3</v>
      </c>
      <c r="D6" s="57"/>
      <c r="E6" s="57"/>
      <c r="F6" s="57"/>
      <c r="G6" s="57"/>
      <c r="H6" s="58">
        <v>8</v>
      </c>
      <c r="I6" s="58">
        <v>8</v>
      </c>
      <c r="J6" s="58">
        <v>10</v>
      </c>
      <c r="K6" s="58"/>
      <c r="L6" s="57"/>
      <c r="M6" s="57"/>
      <c r="N6" s="57"/>
      <c r="O6" s="57"/>
      <c r="P6" s="58"/>
      <c r="Q6" s="58"/>
      <c r="R6" s="58"/>
      <c r="S6" s="58"/>
      <c r="T6" s="59"/>
      <c r="U6" s="59"/>
      <c r="V6" s="136">
        <v>1</v>
      </c>
      <c r="W6" s="136"/>
    </row>
    <row r="7" spans="1:23" ht="18" customHeight="1" x14ac:dyDescent="0.25">
      <c r="A7" s="55" t="s">
        <v>470</v>
      </c>
      <c r="B7" s="56" t="s">
        <v>468</v>
      </c>
      <c r="C7" s="45">
        <v>4</v>
      </c>
      <c r="D7" s="57"/>
      <c r="E7" s="57"/>
      <c r="F7" s="57"/>
      <c r="G7" s="57"/>
      <c r="H7" s="58"/>
      <c r="I7" s="58"/>
      <c r="J7" s="58"/>
      <c r="K7" s="58"/>
      <c r="L7" s="57"/>
      <c r="M7" s="57"/>
      <c r="N7" s="57"/>
      <c r="O7" s="57"/>
      <c r="P7" s="58"/>
      <c r="Q7" s="58"/>
      <c r="R7" s="58"/>
      <c r="S7" s="58"/>
      <c r="T7" s="59"/>
      <c r="U7" s="59"/>
      <c r="V7" s="136"/>
      <c r="W7" s="136"/>
    </row>
    <row r="8" spans="1:23" ht="18" customHeight="1" x14ac:dyDescent="0.25">
      <c r="A8" s="55" t="s">
        <v>470</v>
      </c>
      <c r="B8" s="56" t="s">
        <v>467</v>
      </c>
      <c r="C8" s="45">
        <v>5</v>
      </c>
      <c r="D8" s="57"/>
      <c r="E8" s="57"/>
      <c r="F8" s="57"/>
      <c r="G8" s="57"/>
      <c r="H8" s="58"/>
      <c r="I8" s="58"/>
      <c r="J8" s="58"/>
      <c r="K8" s="58"/>
      <c r="L8" s="57"/>
      <c r="M8" s="57"/>
      <c r="N8" s="57"/>
      <c r="O8" s="57"/>
      <c r="P8" s="58"/>
      <c r="Q8" s="58"/>
      <c r="R8" s="58"/>
      <c r="S8" s="58"/>
      <c r="T8" s="59"/>
      <c r="U8" s="59"/>
      <c r="V8" s="136"/>
      <c r="W8" s="136"/>
    </row>
    <row r="9" spans="1:23" ht="18" customHeight="1" x14ac:dyDescent="0.25">
      <c r="A9" s="55" t="s">
        <v>470</v>
      </c>
      <c r="B9" s="56" t="s">
        <v>466</v>
      </c>
      <c r="C9" s="45">
        <v>6</v>
      </c>
      <c r="D9" s="57"/>
      <c r="E9" s="57"/>
      <c r="F9" s="57"/>
      <c r="G9" s="57"/>
      <c r="H9" s="58"/>
      <c r="I9" s="58"/>
      <c r="J9" s="58"/>
      <c r="K9" s="58"/>
      <c r="L9" s="57"/>
      <c r="M9" s="57"/>
      <c r="N9" s="57"/>
      <c r="O9" s="57"/>
      <c r="P9" s="58"/>
      <c r="Q9" s="58"/>
      <c r="R9" s="58"/>
      <c r="S9" s="58"/>
      <c r="T9" s="59"/>
      <c r="U9" s="59"/>
      <c r="V9" s="136"/>
      <c r="W9" s="136"/>
    </row>
    <row r="10" spans="1:23" ht="18" customHeight="1" x14ac:dyDescent="0.25">
      <c r="A10" s="55" t="s">
        <v>470</v>
      </c>
      <c r="B10" s="56" t="s">
        <v>465</v>
      </c>
      <c r="C10" s="45">
        <v>7</v>
      </c>
      <c r="D10" s="57"/>
      <c r="E10" s="57"/>
      <c r="F10" s="57"/>
      <c r="G10" s="57"/>
      <c r="H10" s="58"/>
      <c r="I10" s="58"/>
      <c r="J10" s="58"/>
      <c r="K10" s="58"/>
      <c r="L10" s="57"/>
      <c r="M10" s="57"/>
      <c r="N10" s="57"/>
      <c r="O10" s="57"/>
      <c r="P10" s="58"/>
      <c r="Q10" s="58"/>
      <c r="R10" s="58"/>
      <c r="S10" s="58"/>
      <c r="T10" s="59"/>
      <c r="U10" s="59"/>
      <c r="V10" s="136"/>
      <c r="W10" s="136"/>
    </row>
    <row r="11" spans="1:23" ht="18" customHeight="1" x14ac:dyDescent="0.25">
      <c r="A11" s="55" t="s">
        <v>470</v>
      </c>
      <c r="B11" s="56" t="s">
        <v>464</v>
      </c>
      <c r="C11" s="45">
        <v>8</v>
      </c>
      <c r="D11" s="57"/>
      <c r="E11" s="57"/>
      <c r="F11" s="57"/>
      <c r="G11" s="57"/>
      <c r="H11" s="58"/>
      <c r="I11" s="58"/>
      <c r="J11" s="58"/>
      <c r="K11" s="58"/>
      <c r="L11" s="57"/>
      <c r="M11" s="57"/>
      <c r="N11" s="57"/>
      <c r="O11" s="57"/>
      <c r="P11" s="58"/>
      <c r="Q11" s="58"/>
      <c r="R11" s="58"/>
      <c r="S11" s="58"/>
      <c r="T11" s="59"/>
      <c r="U11" s="59"/>
      <c r="V11" s="136"/>
      <c r="W11" s="136"/>
    </row>
    <row r="12" spans="1:23" ht="18" customHeight="1" x14ac:dyDescent="0.25">
      <c r="A12" s="55" t="s">
        <v>470</v>
      </c>
      <c r="B12" s="56" t="s">
        <v>463</v>
      </c>
      <c r="C12" s="45">
        <v>9</v>
      </c>
      <c r="D12" s="57"/>
      <c r="E12" s="57"/>
      <c r="F12" s="57"/>
      <c r="G12" s="57"/>
      <c r="H12" s="58">
        <v>2</v>
      </c>
      <c r="I12" s="58"/>
      <c r="J12" s="58"/>
      <c r="K12" s="58"/>
      <c r="L12" s="57"/>
      <c r="M12" s="57"/>
      <c r="N12" s="57"/>
      <c r="O12" s="57"/>
      <c r="P12" s="58"/>
      <c r="Q12" s="58"/>
      <c r="R12" s="58"/>
      <c r="S12" s="58"/>
      <c r="T12" s="59"/>
      <c r="U12" s="59"/>
      <c r="V12" s="136"/>
      <c r="W12" s="136"/>
    </row>
    <row r="13" spans="1:23" ht="18" customHeight="1" x14ac:dyDescent="0.25">
      <c r="A13" s="55" t="s">
        <v>470</v>
      </c>
      <c r="B13" s="56" t="s">
        <v>462</v>
      </c>
      <c r="C13" s="45">
        <v>10</v>
      </c>
      <c r="D13" s="57"/>
      <c r="E13" s="57"/>
      <c r="F13" s="57"/>
      <c r="G13" s="57"/>
      <c r="H13" s="58"/>
      <c r="I13" s="58"/>
      <c r="J13" s="58"/>
      <c r="K13" s="58"/>
      <c r="L13" s="57"/>
      <c r="M13" s="57"/>
      <c r="N13" s="57"/>
      <c r="O13" s="57"/>
      <c r="P13" s="58"/>
      <c r="Q13" s="58"/>
      <c r="R13" s="58"/>
      <c r="S13" s="58"/>
      <c r="T13" s="59"/>
      <c r="U13" s="59"/>
      <c r="V13" s="136"/>
      <c r="W13" s="136"/>
    </row>
    <row r="14" spans="1:23" ht="18" customHeight="1" x14ac:dyDescent="0.25">
      <c r="A14" s="49" t="s">
        <v>461</v>
      </c>
      <c r="B14" s="50"/>
      <c r="C14" s="45">
        <v>11</v>
      </c>
      <c r="D14" s="51">
        <f>SUM(D15:D24)</f>
        <v>0</v>
      </c>
      <c r="E14" s="51">
        <f t="shared" ref="E14:U14" si="3">SUM(E15:E24)</f>
        <v>0</v>
      </c>
      <c r="F14" s="51">
        <f t="shared" si="3"/>
        <v>0</v>
      </c>
      <c r="G14" s="51">
        <f t="shared" si="3"/>
        <v>0</v>
      </c>
      <c r="H14" s="53">
        <f t="shared" si="3"/>
        <v>108</v>
      </c>
      <c r="I14" s="53">
        <f t="shared" si="3"/>
        <v>54</v>
      </c>
      <c r="J14" s="53">
        <f t="shared" si="3"/>
        <v>71</v>
      </c>
      <c r="K14" s="53">
        <f t="shared" si="3"/>
        <v>42</v>
      </c>
      <c r="L14" s="51">
        <f t="shared" si="3"/>
        <v>0</v>
      </c>
      <c r="M14" s="51">
        <f t="shared" si="3"/>
        <v>0</v>
      </c>
      <c r="N14" s="51">
        <f t="shared" si="3"/>
        <v>0</v>
      </c>
      <c r="O14" s="51">
        <f t="shared" si="3"/>
        <v>0</v>
      </c>
      <c r="P14" s="53">
        <f t="shared" si="3"/>
        <v>0</v>
      </c>
      <c r="Q14" s="53">
        <f t="shared" si="3"/>
        <v>0</v>
      </c>
      <c r="R14" s="53">
        <f t="shared" si="3"/>
        <v>0</v>
      </c>
      <c r="S14" s="53">
        <f t="shared" si="3"/>
        <v>0</v>
      </c>
      <c r="T14" s="54">
        <f t="shared" si="3"/>
        <v>17</v>
      </c>
      <c r="U14" s="54">
        <f t="shared" si="3"/>
        <v>3</v>
      </c>
      <c r="V14" s="135">
        <f t="shared" ref="V14:W14" si="4">SUM(V15:V24)</f>
        <v>33</v>
      </c>
      <c r="W14" s="135">
        <f t="shared" si="4"/>
        <v>6</v>
      </c>
    </row>
    <row r="15" spans="1:23" ht="18" customHeight="1" x14ac:dyDescent="0.25">
      <c r="A15" s="55" t="s">
        <v>461</v>
      </c>
      <c r="B15" s="56" t="s">
        <v>460</v>
      </c>
      <c r="C15" s="45">
        <v>12</v>
      </c>
      <c r="D15" s="57"/>
      <c r="E15" s="57"/>
      <c r="F15" s="57"/>
      <c r="G15" s="57"/>
      <c r="H15" s="58">
        <v>14</v>
      </c>
      <c r="I15" s="58">
        <v>13</v>
      </c>
      <c r="J15" s="58">
        <v>13</v>
      </c>
      <c r="K15" s="58"/>
      <c r="L15" s="57"/>
      <c r="M15" s="57"/>
      <c r="N15" s="57"/>
      <c r="O15" s="57"/>
      <c r="P15" s="58"/>
      <c r="Q15" s="58"/>
      <c r="R15" s="58"/>
      <c r="S15" s="58"/>
      <c r="T15" s="59">
        <v>4</v>
      </c>
      <c r="U15" s="59">
        <v>1</v>
      </c>
      <c r="V15" s="136">
        <v>4</v>
      </c>
      <c r="W15" s="136">
        <v>1</v>
      </c>
    </row>
    <row r="16" spans="1:23" ht="18" customHeight="1" x14ac:dyDescent="0.25">
      <c r="A16" s="55" t="s">
        <v>461</v>
      </c>
      <c r="B16" s="56" t="s">
        <v>459</v>
      </c>
      <c r="C16" s="45">
        <v>13</v>
      </c>
      <c r="D16" s="57"/>
      <c r="E16" s="57"/>
      <c r="F16" s="57"/>
      <c r="G16" s="57"/>
      <c r="H16" s="58">
        <v>47</v>
      </c>
      <c r="I16" s="58">
        <v>22</v>
      </c>
      <c r="J16" s="58">
        <v>34</v>
      </c>
      <c r="K16" s="58">
        <v>20</v>
      </c>
      <c r="L16" s="57"/>
      <c r="M16" s="57"/>
      <c r="N16" s="57"/>
      <c r="O16" s="57"/>
      <c r="P16" s="58"/>
      <c r="Q16" s="58"/>
      <c r="R16" s="58"/>
      <c r="S16" s="58"/>
      <c r="T16" s="59">
        <v>4</v>
      </c>
      <c r="U16" s="59">
        <v>2</v>
      </c>
      <c r="V16" s="136">
        <v>7</v>
      </c>
      <c r="W16" s="136">
        <v>1</v>
      </c>
    </row>
    <row r="17" spans="1:23" ht="18" customHeight="1" x14ac:dyDescent="0.25">
      <c r="A17" s="55" t="s">
        <v>461</v>
      </c>
      <c r="B17" s="56" t="s">
        <v>458</v>
      </c>
      <c r="C17" s="45">
        <v>14</v>
      </c>
      <c r="D17" s="57"/>
      <c r="E17" s="57"/>
      <c r="F17" s="57"/>
      <c r="G17" s="57"/>
      <c r="H17" s="58"/>
      <c r="I17" s="58"/>
      <c r="J17" s="58"/>
      <c r="K17" s="58"/>
      <c r="L17" s="57"/>
      <c r="M17" s="57"/>
      <c r="N17" s="57"/>
      <c r="O17" s="57"/>
      <c r="P17" s="58"/>
      <c r="Q17" s="58"/>
      <c r="R17" s="58"/>
      <c r="S17" s="58"/>
      <c r="T17" s="59">
        <v>2</v>
      </c>
      <c r="U17" s="59"/>
      <c r="V17" s="136"/>
      <c r="W17" s="136"/>
    </row>
    <row r="18" spans="1:23" ht="18" customHeight="1" x14ac:dyDescent="0.25">
      <c r="A18" s="55" t="s">
        <v>461</v>
      </c>
      <c r="B18" s="56" t="s">
        <v>457</v>
      </c>
      <c r="C18" s="45">
        <v>15</v>
      </c>
      <c r="D18" s="57"/>
      <c r="E18" s="57"/>
      <c r="F18" s="57"/>
      <c r="G18" s="57"/>
      <c r="H18" s="58"/>
      <c r="I18" s="58"/>
      <c r="J18" s="58"/>
      <c r="K18" s="58"/>
      <c r="L18" s="57"/>
      <c r="M18" s="57"/>
      <c r="N18" s="57"/>
      <c r="O18" s="57"/>
      <c r="P18" s="58"/>
      <c r="Q18" s="58"/>
      <c r="R18" s="58"/>
      <c r="S18" s="58"/>
      <c r="T18" s="59"/>
      <c r="U18" s="59"/>
      <c r="V18" s="136"/>
      <c r="W18" s="136"/>
    </row>
    <row r="19" spans="1:23" ht="18" customHeight="1" x14ac:dyDescent="0.25">
      <c r="A19" s="55" t="s">
        <v>461</v>
      </c>
      <c r="B19" s="56" t="s">
        <v>456</v>
      </c>
      <c r="C19" s="45">
        <v>16</v>
      </c>
      <c r="D19" s="57"/>
      <c r="E19" s="57"/>
      <c r="F19" s="57"/>
      <c r="G19" s="57"/>
      <c r="H19" s="58">
        <v>1</v>
      </c>
      <c r="I19" s="58">
        <v>1</v>
      </c>
      <c r="J19" s="58"/>
      <c r="K19" s="58">
        <v>1</v>
      </c>
      <c r="L19" s="57"/>
      <c r="M19" s="57"/>
      <c r="N19" s="57"/>
      <c r="O19" s="57"/>
      <c r="P19" s="58"/>
      <c r="Q19" s="58"/>
      <c r="R19" s="58"/>
      <c r="S19" s="58"/>
      <c r="T19" s="59">
        <v>1</v>
      </c>
      <c r="U19" s="59"/>
      <c r="V19" s="136"/>
      <c r="W19" s="136">
        <v>1</v>
      </c>
    </row>
    <row r="20" spans="1:23" ht="18" customHeight="1" x14ac:dyDescent="0.25">
      <c r="A20" s="55" t="s">
        <v>461</v>
      </c>
      <c r="B20" s="56" t="s">
        <v>455</v>
      </c>
      <c r="C20" s="45">
        <v>17</v>
      </c>
      <c r="D20" s="57"/>
      <c r="E20" s="57"/>
      <c r="F20" s="57"/>
      <c r="G20" s="57"/>
      <c r="H20" s="58"/>
      <c r="I20" s="58"/>
      <c r="J20" s="58"/>
      <c r="K20" s="58"/>
      <c r="L20" s="57"/>
      <c r="M20" s="57"/>
      <c r="N20" s="57"/>
      <c r="O20" s="57"/>
      <c r="P20" s="58"/>
      <c r="Q20" s="58"/>
      <c r="R20" s="58"/>
      <c r="S20" s="58"/>
      <c r="T20" s="59"/>
      <c r="U20" s="59"/>
      <c r="V20" s="136"/>
      <c r="W20" s="136"/>
    </row>
    <row r="21" spans="1:23" ht="18" customHeight="1" x14ac:dyDescent="0.25">
      <c r="A21" s="55" t="s">
        <v>461</v>
      </c>
      <c r="B21" s="56" t="s">
        <v>454</v>
      </c>
      <c r="C21" s="45">
        <v>18</v>
      </c>
      <c r="D21" s="57"/>
      <c r="E21" s="57"/>
      <c r="F21" s="57"/>
      <c r="G21" s="57"/>
      <c r="H21" s="58">
        <v>42</v>
      </c>
      <c r="I21" s="58">
        <v>16</v>
      </c>
      <c r="J21" s="58">
        <v>19</v>
      </c>
      <c r="K21" s="58">
        <v>20</v>
      </c>
      <c r="L21" s="57"/>
      <c r="M21" s="57"/>
      <c r="N21" s="57"/>
      <c r="O21" s="57"/>
      <c r="P21" s="58"/>
      <c r="Q21" s="58"/>
      <c r="R21" s="58"/>
      <c r="S21" s="58"/>
      <c r="T21" s="59">
        <v>6</v>
      </c>
      <c r="U21" s="59"/>
      <c r="V21" s="136">
        <v>19</v>
      </c>
      <c r="W21" s="136">
        <v>3</v>
      </c>
    </row>
    <row r="22" spans="1:23" ht="18" customHeight="1" x14ac:dyDescent="0.25">
      <c r="A22" s="55" t="s">
        <v>461</v>
      </c>
      <c r="B22" s="56" t="s">
        <v>453</v>
      </c>
      <c r="C22" s="45">
        <v>19</v>
      </c>
      <c r="D22" s="57"/>
      <c r="E22" s="57"/>
      <c r="F22" s="57"/>
      <c r="G22" s="57"/>
      <c r="H22" s="58"/>
      <c r="I22" s="58"/>
      <c r="J22" s="58"/>
      <c r="K22" s="58"/>
      <c r="L22" s="57"/>
      <c r="M22" s="57"/>
      <c r="N22" s="57"/>
      <c r="O22" s="57"/>
      <c r="P22" s="58"/>
      <c r="Q22" s="58"/>
      <c r="R22" s="58"/>
      <c r="S22" s="58"/>
      <c r="T22" s="59"/>
      <c r="U22" s="59"/>
      <c r="V22" s="136"/>
      <c r="W22" s="136"/>
    </row>
    <row r="23" spans="1:23" ht="18" customHeight="1" x14ac:dyDescent="0.25">
      <c r="A23" s="55" t="s">
        <v>461</v>
      </c>
      <c r="B23" s="56" t="s">
        <v>452</v>
      </c>
      <c r="C23" s="45">
        <v>20</v>
      </c>
      <c r="D23" s="57"/>
      <c r="E23" s="57"/>
      <c r="F23" s="57"/>
      <c r="G23" s="57"/>
      <c r="H23" s="58">
        <v>4</v>
      </c>
      <c r="I23" s="58">
        <v>2</v>
      </c>
      <c r="J23" s="58">
        <v>5</v>
      </c>
      <c r="K23" s="58">
        <v>1</v>
      </c>
      <c r="L23" s="57"/>
      <c r="M23" s="57"/>
      <c r="N23" s="57"/>
      <c r="O23" s="57"/>
      <c r="P23" s="58"/>
      <c r="Q23" s="58"/>
      <c r="R23" s="58"/>
      <c r="S23" s="58"/>
      <c r="T23" s="59"/>
      <c r="U23" s="59"/>
      <c r="V23" s="136">
        <v>3</v>
      </c>
      <c r="W23" s="136"/>
    </row>
    <row r="24" spans="1:23" ht="18" customHeight="1" x14ac:dyDescent="0.25">
      <c r="A24" s="55" t="s">
        <v>461</v>
      </c>
      <c r="B24" s="56" t="s">
        <v>451</v>
      </c>
      <c r="C24" s="45">
        <v>21</v>
      </c>
      <c r="D24" s="57"/>
      <c r="E24" s="57"/>
      <c r="F24" s="57"/>
      <c r="G24" s="57"/>
      <c r="H24" s="58"/>
      <c r="I24" s="58"/>
      <c r="J24" s="58"/>
      <c r="K24" s="58"/>
      <c r="L24" s="57"/>
      <c r="M24" s="57"/>
      <c r="N24" s="57"/>
      <c r="O24" s="57"/>
      <c r="P24" s="58"/>
      <c r="Q24" s="58"/>
      <c r="R24" s="58"/>
      <c r="S24" s="58"/>
      <c r="T24" s="59"/>
      <c r="U24" s="59"/>
      <c r="V24" s="136"/>
      <c r="W24" s="136"/>
    </row>
    <row r="25" spans="1:23" ht="18" customHeight="1" x14ac:dyDescent="0.25">
      <c r="A25" s="49" t="s">
        <v>450</v>
      </c>
      <c r="B25" s="50"/>
      <c r="C25" s="45">
        <v>22</v>
      </c>
      <c r="D25" s="51">
        <f>SUM(D26:D31)</f>
        <v>0</v>
      </c>
      <c r="E25" s="51">
        <f t="shared" ref="E25:U25" si="5">SUM(E26:E31)</f>
        <v>0</v>
      </c>
      <c r="F25" s="51">
        <f t="shared" si="5"/>
        <v>0</v>
      </c>
      <c r="G25" s="51">
        <f t="shared" si="5"/>
        <v>0</v>
      </c>
      <c r="H25" s="53">
        <f t="shared" si="5"/>
        <v>0</v>
      </c>
      <c r="I25" s="53">
        <f t="shared" si="5"/>
        <v>0</v>
      </c>
      <c r="J25" s="53">
        <f t="shared" si="5"/>
        <v>0</v>
      </c>
      <c r="K25" s="53">
        <f t="shared" si="5"/>
        <v>0</v>
      </c>
      <c r="L25" s="51">
        <f t="shared" si="5"/>
        <v>0</v>
      </c>
      <c r="M25" s="51">
        <f t="shared" si="5"/>
        <v>0</v>
      </c>
      <c r="N25" s="51">
        <f t="shared" si="5"/>
        <v>0</v>
      </c>
      <c r="O25" s="51">
        <f t="shared" si="5"/>
        <v>0</v>
      </c>
      <c r="P25" s="53">
        <f t="shared" si="5"/>
        <v>0</v>
      </c>
      <c r="Q25" s="53">
        <f t="shared" si="5"/>
        <v>0</v>
      </c>
      <c r="R25" s="53">
        <f t="shared" si="5"/>
        <v>0</v>
      </c>
      <c r="S25" s="53">
        <f t="shared" si="5"/>
        <v>0</v>
      </c>
      <c r="T25" s="54">
        <f t="shared" si="5"/>
        <v>0</v>
      </c>
      <c r="U25" s="54">
        <f t="shared" si="5"/>
        <v>0</v>
      </c>
      <c r="V25" s="135">
        <f t="shared" ref="V25:W25" si="6">SUM(V26:V31)</f>
        <v>0</v>
      </c>
      <c r="W25" s="135">
        <f t="shared" si="6"/>
        <v>0</v>
      </c>
    </row>
    <row r="26" spans="1:23" ht="18" customHeight="1" x14ac:dyDescent="0.25">
      <c r="A26" s="55" t="s">
        <v>450</v>
      </c>
      <c r="B26" s="56" t="s">
        <v>449</v>
      </c>
      <c r="C26" s="45">
        <v>23</v>
      </c>
      <c r="D26" s="57"/>
      <c r="E26" s="57"/>
      <c r="F26" s="57"/>
      <c r="G26" s="57"/>
      <c r="H26" s="58"/>
      <c r="I26" s="58"/>
      <c r="J26" s="58"/>
      <c r="K26" s="58"/>
      <c r="L26" s="57"/>
      <c r="M26" s="57"/>
      <c r="N26" s="57"/>
      <c r="O26" s="57"/>
      <c r="P26" s="58"/>
      <c r="Q26" s="58"/>
      <c r="R26" s="58"/>
      <c r="S26" s="58"/>
      <c r="T26" s="59"/>
      <c r="U26" s="59"/>
      <c r="V26" s="136"/>
      <c r="W26" s="136"/>
    </row>
    <row r="27" spans="1:23" ht="18" customHeight="1" x14ac:dyDescent="0.25">
      <c r="A27" s="55" t="s">
        <v>450</v>
      </c>
      <c r="B27" s="56" t="s">
        <v>448</v>
      </c>
      <c r="C27" s="45">
        <v>24</v>
      </c>
      <c r="D27" s="57"/>
      <c r="E27" s="57"/>
      <c r="F27" s="57"/>
      <c r="G27" s="57"/>
      <c r="H27" s="58"/>
      <c r="I27" s="58"/>
      <c r="J27" s="58"/>
      <c r="K27" s="58"/>
      <c r="L27" s="57"/>
      <c r="M27" s="57"/>
      <c r="N27" s="57"/>
      <c r="O27" s="57"/>
      <c r="P27" s="58"/>
      <c r="Q27" s="58"/>
      <c r="R27" s="58"/>
      <c r="S27" s="58"/>
      <c r="T27" s="59"/>
      <c r="U27" s="59"/>
      <c r="V27" s="136"/>
      <c r="W27" s="136"/>
    </row>
    <row r="28" spans="1:23" ht="18" customHeight="1" x14ac:dyDescent="0.25">
      <c r="A28" s="55" t="s">
        <v>450</v>
      </c>
      <c r="B28" s="56" t="s">
        <v>447</v>
      </c>
      <c r="C28" s="45">
        <v>25</v>
      </c>
      <c r="D28" s="57"/>
      <c r="E28" s="57"/>
      <c r="F28" s="57"/>
      <c r="G28" s="57"/>
      <c r="H28" s="58"/>
      <c r="I28" s="58"/>
      <c r="J28" s="58"/>
      <c r="K28" s="58"/>
      <c r="L28" s="57"/>
      <c r="M28" s="57"/>
      <c r="N28" s="57"/>
      <c r="O28" s="57"/>
      <c r="P28" s="58"/>
      <c r="Q28" s="58"/>
      <c r="R28" s="58"/>
      <c r="S28" s="58"/>
      <c r="T28" s="59"/>
      <c r="U28" s="59"/>
      <c r="V28" s="136"/>
      <c r="W28" s="136"/>
    </row>
    <row r="29" spans="1:23" ht="18" customHeight="1" x14ac:dyDescent="0.25">
      <c r="A29" s="55" t="s">
        <v>450</v>
      </c>
      <c r="B29" s="56" t="s">
        <v>446</v>
      </c>
      <c r="C29" s="45">
        <v>26</v>
      </c>
      <c r="D29" s="57"/>
      <c r="E29" s="57"/>
      <c r="F29" s="57"/>
      <c r="G29" s="57"/>
      <c r="H29" s="58"/>
      <c r="I29" s="58"/>
      <c r="J29" s="58"/>
      <c r="K29" s="58"/>
      <c r="L29" s="57"/>
      <c r="M29" s="57"/>
      <c r="N29" s="57"/>
      <c r="O29" s="57"/>
      <c r="P29" s="58"/>
      <c r="Q29" s="58"/>
      <c r="R29" s="58"/>
      <c r="S29" s="58"/>
      <c r="T29" s="59"/>
      <c r="U29" s="59"/>
      <c r="V29" s="136"/>
      <c r="W29" s="136"/>
    </row>
    <row r="30" spans="1:23" ht="18" customHeight="1" x14ac:dyDescent="0.25">
      <c r="A30" s="55" t="s">
        <v>450</v>
      </c>
      <c r="B30" s="56" t="s">
        <v>445</v>
      </c>
      <c r="C30" s="45">
        <v>27</v>
      </c>
      <c r="D30" s="57"/>
      <c r="E30" s="57"/>
      <c r="F30" s="57"/>
      <c r="G30" s="57"/>
      <c r="H30" s="58"/>
      <c r="I30" s="58"/>
      <c r="J30" s="58"/>
      <c r="K30" s="58"/>
      <c r="L30" s="57"/>
      <c r="M30" s="57"/>
      <c r="N30" s="57"/>
      <c r="O30" s="57"/>
      <c r="P30" s="58"/>
      <c r="Q30" s="58"/>
      <c r="R30" s="58"/>
      <c r="S30" s="58"/>
      <c r="T30" s="59"/>
      <c r="U30" s="59"/>
      <c r="V30" s="136"/>
      <c r="W30" s="136"/>
    </row>
    <row r="31" spans="1:23" ht="18" customHeight="1" x14ac:dyDescent="0.25">
      <c r="A31" s="55" t="s">
        <v>450</v>
      </c>
      <c r="B31" s="56" t="s">
        <v>444</v>
      </c>
      <c r="C31" s="45">
        <v>28</v>
      </c>
      <c r="D31" s="57"/>
      <c r="E31" s="57"/>
      <c r="F31" s="57"/>
      <c r="G31" s="57"/>
      <c r="H31" s="58"/>
      <c r="I31" s="58"/>
      <c r="J31" s="58"/>
      <c r="K31" s="58"/>
      <c r="L31" s="57"/>
      <c r="M31" s="57"/>
      <c r="N31" s="57"/>
      <c r="O31" s="57"/>
      <c r="P31" s="58"/>
      <c r="Q31" s="58"/>
      <c r="R31" s="58"/>
      <c r="S31" s="58"/>
      <c r="T31" s="59"/>
      <c r="U31" s="59"/>
      <c r="V31" s="136"/>
      <c r="W31" s="136"/>
    </row>
    <row r="32" spans="1:23" ht="18" customHeight="1" x14ac:dyDescent="0.25">
      <c r="A32" s="49" t="s">
        <v>443</v>
      </c>
      <c r="B32" s="50"/>
      <c r="C32" s="45">
        <v>29</v>
      </c>
      <c r="D32" s="51">
        <f t="shared" ref="D32:W32" si="7">SUM(D33:D41)</f>
        <v>0</v>
      </c>
      <c r="E32" s="51">
        <f t="shared" si="7"/>
        <v>0</v>
      </c>
      <c r="F32" s="51">
        <f t="shared" si="7"/>
        <v>0</v>
      </c>
      <c r="G32" s="51">
        <f t="shared" si="7"/>
        <v>0</v>
      </c>
      <c r="H32" s="53">
        <f t="shared" si="7"/>
        <v>1</v>
      </c>
      <c r="I32" s="53">
        <f t="shared" si="7"/>
        <v>0</v>
      </c>
      <c r="J32" s="53">
        <f t="shared" si="7"/>
        <v>0</v>
      </c>
      <c r="K32" s="53">
        <f t="shared" si="7"/>
        <v>0</v>
      </c>
      <c r="L32" s="51">
        <f t="shared" si="7"/>
        <v>0</v>
      </c>
      <c r="M32" s="51">
        <f t="shared" si="7"/>
        <v>0</v>
      </c>
      <c r="N32" s="51">
        <f t="shared" si="7"/>
        <v>0</v>
      </c>
      <c r="O32" s="51">
        <f t="shared" si="7"/>
        <v>0</v>
      </c>
      <c r="P32" s="53">
        <f t="shared" si="7"/>
        <v>0</v>
      </c>
      <c r="Q32" s="53">
        <f t="shared" si="7"/>
        <v>0</v>
      </c>
      <c r="R32" s="53">
        <f t="shared" si="7"/>
        <v>0</v>
      </c>
      <c r="S32" s="53">
        <f t="shared" si="7"/>
        <v>0</v>
      </c>
      <c r="T32" s="54">
        <f t="shared" si="7"/>
        <v>0</v>
      </c>
      <c r="U32" s="54">
        <f t="shared" si="7"/>
        <v>0</v>
      </c>
      <c r="V32" s="135">
        <f t="shared" si="7"/>
        <v>0</v>
      </c>
      <c r="W32" s="135">
        <f t="shared" si="7"/>
        <v>0</v>
      </c>
    </row>
    <row r="33" spans="1:23" ht="18" customHeight="1" x14ac:dyDescent="0.25">
      <c r="A33" s="55" t="s">
        <v>443</v>
      </c>
      <c r="B33" s="56" t="s">
        <v>442</v>
      </c>
      <c r="C33" s="45">
        <v>30</v>
      </c>
      <c r="D33" s="57"/>
      <c r="E33" s="57"/>
      <c r="F33" s="57"/>
      <c r="G33" s="57"/>
      <c r="H33" s="58"/>
      <c r="I33" s="58"/>
      <c r="J33" s="58"/>
      <c r="K33" s="58"/>
      <c r="L33" s="57"/>
      <c r="M33" s="57"/>
      <c r="N33" s="57"/>
      <c r="O33" s="57"/>
      <c r="P33" s="58"/>
      <c r="Q33" s="58"/>
      <c r="R33" s="58"/>
      <c r="S33" s="58"/>
      <c r="T33" s="59"/>
      <c r="U33" s="59"/>
      <c r="V33" s="136"/>
      <c r="W33" s="136"/>
    </row>
    <row r="34" spans="1:23" ht="18" customHeight="1" x14ac:dyDescent="0.25">
      <c r="A34" s="55" t="s">
        <v>443</v>
      </c>
      <c r="B34" s="56" t="s">
        <v>441</v>
      </c>
      <c r="C34" s="45">
        <v>31</v>
      </c>
      <c r="D34" s="57"/>
      <c r="E34" s="57"/>
      <c r="F34" s="57"/>
      <c r="G34" s="57"/>
      <c r="H34" s="58"/>
      <c r="I34" s="58"/>
      <c r="J34" s="58"/>
      <c r="K34" s="58"/>
      <c r="L34" s="57"/>
      <c r="M34" s="57"/>
      <c r="N34" s="57"/>
      <c r="O34" s="57"/>
      <c r="P34" s="58"/>
      <c r="Q34" s="58"/>
      <c r="R34" s="58"/>
      <c r="S34" s="58"/>
      <c r="T34" s="59"/>
      <c r="U34" s="59"/>
      <c r="V34" s="136"/>
      <c r="W34" s="136"/>
    </row>
    <row r="35" spans="1:23" ht="18" customHeight="1" x14ac:dyDescent="0.25">
      <c r="A35" s="55" t="s">
        <v>443</v>
      </c>
      <c r="B35" s="56" t="s">
        <v>440</v>
      </c>
      <c r="C35" s="45">
        <v>32</v>
      </c>
      <c r="D35" s="57"/>
      <c r="E35" s="57"/>
      <c r="F35" s="57"/>
      <c r="G35" s="57"/>
      <c r="H35" s="58"/>
      <c r="I35" s="58"/>
      <c r="J35" s="58"/>
      <c r="K35" s="58"/>
      <c r="L35" s="57"/>
      <c r="M35" s="57"/>
      <c r="N35" s="57"/>
      <c r="O35" s="57"/>
      <c r="P35" s="58"/>
      <c r="Q35" s="58"/>
      <c r="R35" s="58"/>
      <c r="S35" s="58"/>
      <c r="T35" s="59"/>
      <c r="U35" s="59"/>
      <c r="V35" s="136"/>
      <c r="W35" s="136"/>
    </row>
    <row r="36" spans="1:23" ht="18" customHeight="1" x14ac:dyDescent="0.25">
      <c r="A36" s="55" t="s">
        <v>443</v>
      </c>
      <c r="B36" s="60" t="s">
        <v>439</v>
      </c>
      <c r="C36" s="45">
        <v>33</v>
      </c>
      <c r="D36" s="57"/>
      <c r="E36" s="57"/>
      <c r="F36" s="57"/>
      <c r="G36" s="57"/>
      <c r="H36" s="58"/>
      <c r="I36" s="58"/>
      <c r="J36" s="58"/>
      <c r="K36" s="58"/>
      <c r="L36" s="57"/>
      <c r="M36" s="57"/>
      <c r="N36" s="57"/>
      <c r="O36" s="57"/>
      <c r="P36" s="58"/>
      <c r="Q36" s="58"/>
      <c r="R36" s="58"/>
      <c r="S36" s="58"/>
      <c r="T36" s="59"/>
      <c r="U36" s="59"/>
      <c r="V36" s="136"/>
      <c r="W36" s="136"/>
    </row>
    <row r="37" spans="1:23" ht="18" customHeight="1" x14ac:dyDescent="0.25">
      <c r="A37" s="55" t="s">
        <v>443</v>
      </c>
      <c r="B37" s="60" t="s">
        <v>438</v>
      </c>
      <c r="C37" s="45">
        <v>34</v>
      </c>
      <c r="D37" s="57"/>
      <c r="E37" s="57"/>
      <c r="F37" s="57"/>
      <c r="G37" s="57"/>
      <c r="H37" s="58"/>
      <c r="I37" s="58"/>
      <c r="J37" s="58"/>
      <c r="K37" s="58"/>
      <c r="L37" s="57"/>
      <c r="M37" s="57"/>
      <c r="N37" s="57"/>
      <c r="O37" s="57"/>
      <c r="P37" s="58"/>
      <c r="Q37" s="58"/>
      <c r="R37" s="58"/>
      <c r="S37" s="58"/>
      <c r="T37" s="59"/>
      <c r="U37" s="59"/>
      <c r="V37" s="136"/>
      <c r="W37" s="136"/>
    </row>
    <row r="38" spans="1:23" ht="18" customHeight="1" x14ac:dyDescent="0.25">
      <c r="A38" s="55" t="s">
        <v>443</v>
      </c>
      <c r="B38" s="60" t="s">
        <v>437</v>
      </c>
      <c r="C38" s="45">
        <v>35</v>
      </c>
      <c r="D38" s="57"/>
      <c r="E38" s="57"/>
      <c r="F38" s="57"/>
      <c r="G38" s="57"/>
      <c r="H38" s="58"/>
      <c r="I38" s="58"/>
      <c r="J38" s="58"/>
      <c r="K38" s="58"/>
      <c r="L38" s="57"/>
      <c r="M38" s="57"/>
      <c r="N38" s="57"/>
      <c r="O38" s="57"/>
      <c r="P38" s="58"/>
      <c r="Q38" s="58"/>
      <c r="R38" s="58"/>
      <c r="S38" s="58"/>
      <c r="T38" s="59"/>
      <c r="U38" s="59"/>
      <c r="V38" s="136"/>
      <c r="W38" s="136"/>
    </row>
    <row r="39" spans="1:23" ht="18" customHeight="1" x14ac:dyDescent="0.25">
      <c r="A39" s="55" t="s">
        <v>443</v>
      </c>
      <c r="B39" s="60" t="s">
        <v>436</v>
      </c>
      <c r="C39" s="45">
        <v>36</v>
      </c>
      <c r="D39" s="57"/>
      <c r="E39" s="57"/>
      <c r="F39" s="57"/>
      <c r="G39" s="57"/>
      <c r="H39" s="58">
        <v>1</v>
      </c>
      <c r="I39" s="58"/>
      <c r="J39" s="58"/>
      <c r="K39" s="58"/>
      <c r="L39" s="57"/>
      <c r="M39" s="57"/>
      <c r="N39" s="57"/>
      <c r="O39" s="57"/>
      <c r="P39" s="58"/>
      <c r="Q39" s="58"/>
      <c r="R39" s="58"/>
      <c r="S39" s="58"/>
      <c r="T39" s="59"/>
      <c r="U39" s="59"/>
      <c r="V39" s="136"/>
      <c r="W39" s="136"/>
    </row>
    <row r="40" spans="1:23" ht="18" customHeight="1" x14ac:dyDescent="0.25">
      <c r="A40" s="55"/>
      <c r="B40" s="60" t="s">
        <v>929</v>
      </c>
      <c r="C40" s="45">
        <v>37</v>
      </c>
      <c r="D40" s="57"/>
      <c r="E40" s="57"/>
      <c r="F40" s="57"/>
      <c r="G40" s="57"/>
      <c r="H40" s="58"/>
      <c r="I40" s="58"/>
      <c r="J40" s="58"/>
      <c r="K40" s="58"/>
      <c r="L40" s="57"/>
      <c r="M40" s="57"/>
      <c r="N40" s="57"/>
      <c r="O40" s="57"/>
      <c r="P40" s="58"/>
      <c r="Q40" s="58"/>
      <c r="R40" s="58"/>
      <c r="S40" s="58"/>
      <c r="T40" s="59"/>
      <c r="U40" s="59"/>
      <c r="V40" s="136"/>
      <c r="W40" s="136"/>
    </row>
    <row r="41" spans="1:23" ht="18" customHeight="1" x14ac:dyDescent="0.25">
      <c r="A41" s="55" t="s">
        <v>443</v>
      </c>
      <c r="B41" s="60" t="s">
        <v>435</v>
      </c>
      <c r="C41" s="45">
        <v>38</v>
      </c>
      <c r="D41" s="57"/>
      <c r="E41" s="57"/>
      <c r="F41" s="57"/>
      <c r="G41" s="57"/>
      <c r="H41" s="58"/>
      <c r="I41" s="58"/>
      <c r="J41" s="58"/>
      <c r="K41" s="58"/>
      <c r="L41" s="57"/>
      <c r="M41" s="57"/>
      <c r="N41" s="57"/>
      <c r="O41" s="57"/>
      <c r="P41" s="58"/>
      <c r="Q41" s="58"/>
      <c r="R41" s="58"/>
      <c r="S41" s="58"/>
      <c r="T41" s="59"/>
      <c r="U41" s="59"/>
      <c r="V41" s="136"/>
      <c r="W41" s="136"/>
    </row>
    <row r="42" spans="1:23" ht="18" customHeight="1" x14ac:dyDescent="0.25">
      <c r="A42" s="49" t="s">
        <v>434</v>
      </c>
      <c r="B42" s="50"/>
      <c r="C42" s="45">
        <v>39</v>
      </c>
      <c r="D42" s="51">
        <f>SUM(D43:D45)</f>
        <v>0</v>
      </c>
      <c r="E42" s="51">
        <f t="shared" ref="E42:U42" si="8">SUM(E43:E45)</f>
        <v>0</v>
      </c>
      <c r="F42" s="51">
        <f t="shared" si="8"/>
        <v>0</v>
      </c>
      <c r="G42" s="51">
        <f t="shared" si="8"/>
        <v>0</v>
      </c>
      <c r="H42" s="53">
        <f t="shared" si="8"/>
        <v>19</v>
      </c>
      <c r="I42" s="53">
        <f t="shared" si="8"/>
        <v>10</v>
      </c>
      <c r="J42" s="53">
        <f t="shared" si="8"/>
        <v>10</v>
      </c>
      <c r="K42" s="53">
        <f t="shared" si="8"/>
        <v>0</v>
      </c>
      <c r="L42" s="51">
        <f t="shared" si="8"/>
        <v>0</v>
      </c>
      <c r="M42" s="51">
        <f t="shared" si="8"/>
        <v>0</v>
      </c>
      <c r="N42" s="51">
        <f t="shared" si="8"/>
        <v>0</v>
      </c>
      <c r="O42" s="51">
        <f t="shared" si="8"/>
        <v>0</v>
      </c>
      <c r="P42" s="53">
        <f t="shared" si="8"/>
        <v>0</v>
      </c>
      <c r="Q42" s="53">
        <f t="shared" si="8"/>
        <v>0</v>
      </c>
      <c r="R42" s="53">
        <f t="shared" si="8"/>
        <v>0</v>
      </c>
      <c r="S42" s="53">
        <f t="shared" si="8"/>
        <v>0</v>
      </c>
      <c r="T42" s="54">
        <f t="shared" si="8"/>
        <v>0</v>
      </c>
      <c r="U42" s="54">
        <f t="shared" si="8"/>
        <v>0</v>
      </c>
      <c r="V42" s="135">
        <f t="shared" ref="V42:W42" si="9">SUM(V43:V45)</f>
        <v>6</v>
      </c>
      <c r="W42" s="135">
        <f t="shared" si="9"/>
        <v>3</v>
      </c>
    </row>
    <row r="43" spans="1:23" ht="18" customHeight="1" x14ac:dyDescent="0.25">
      <c r="A43" s="55" t="s">
        <v>434</v>
      </c>
      <c r="B43" s="56" t="s">
        <v>433</v>
      </c>
      <c r="C43" s="45">
        <v>40</v>
      </c>
      <c r="D43" s="57"/>
      <c r="E43" s="57"/>
      <c r="F43" s="57"/>
      <c r="G43" s="57"/>
      <c r="H43" s="58">
        <v>12</v>
      </c>
      <c r="I43" s="58">
        <v>9</v>
      </c>
      <c r="J43" s="58">
        <v>8</v>
      </c>
      <c r="K43" s="58"/>
      <c r="L43" s="57"/>
      <c r="M43" s="57"/>
      <c r="N43" s="57"/>
      <c r="O43" s="57"/>
      <c r="P43" s="58"/>
      <c r="Q43" s="58"/>
      <c r="R43" s="58"/>
      <c r="S43" s="58"/>
      <c r="T43" s="59"/>
      <c r="U43" s="59"/>
      <c r="V43" s="136">
        <v>5</v>
      </c>
      <c r="W43" s="136">
        <v>2</v>
      </c>
    </row>
    <row r="44" spans="1:23" ht="18" customHeight="1" x14ac:dyDescent="0.25">
      <c r="A44" s="55" t="s">
        <v>434</v>
      </c>
      <c r="B44" s="56" t="s">
        <v>432</v>
      </c>
      <c r="C44" s="45">
        <v>41</v>
      </c>
      <c r="D44" s="57"/>
      <c r="E44" s="57"/>
      <c r="F44" s="57"/>
      <c r="G44" s="57"/>
      <c r="H44" s="58">
        <v>6</v>
      </c>
      <c r="I44" s="58">
        <v>1</v>
      </c>
      <c r="J44" s="58">
        <v>2</v>
      </c>
      <c r="K44" s="58"/>
      <c r="L44" s="57"/>
      <c r="M44" s="57"/>
      <c r="N44" s="57"/>
      <c r="O44" s="57"/>
      <c r="P44" s="58"/>
      <c r="Q44" s="58"/>
      <c r="R44" s="58"/>
      <c r="S44" s="58"/>
      <c r="T44" s="59"/>
      <c r="U44" s="59"/>
      <c r="V44" s="136">
        <v>1</v>
      </c>
      <c r="W44" s="136">
        <v>1</v>
      </c>
    </row>
    <row r="45" spans="1:23" ht="18" customHeight="1" x14ac:dyDescent="0.25">
      <c r="A45" s="55" t="s">
        <v>434</v>
      </c>
      <c r="B45" s="56" t="s">
        <v>431</v>
      </c>
      <c r="C45" s="45">
        <v>42</v>
      </c>
      <c r="D45" s="57"/>
      <c r="E45" s="57"/>
      <c r="F45" s="57"/>
      <c r="G45" s="57"/>
      <c r="H45" s="58">
        <v>1</v>
      </c>
      <c r="I45" s="58"/>
      <c r="J45" s="58"/>
      <c r="K45" s="58"/>
      <c r="L45" s="57"/>
      <c r="M45" s="57"/>
      <c r="N45" s="57"/>
      <c r="O45" s="57"/>
      <c r="P45" s="58"/>
      <c r="Q45" s="58"/>
      <c r="R45" s="58"/>
      <c r="S45" s="58"/>
      <c r="T45" s="59"/>
      <c r="U45" s="59"/>
      <c r="V45" s="136"/>
      <c r="W45" s="136"/>
    </row>
    <row r="46" spans="1:23" ht="18" customHeight="1" x14ac:dyDescent="0.25">
      <c r="A46" s="49" t="s">
        <v>430</v>
      </c>
      <c r="B46" s="50"/>
      <c r="C46" s="45">
        <v>43</v>
      </c>
      <c r="D46" s="51">
        <f t="shared" ref="D46:W46" si="10">SUM(D47:D55)</f>
        <v>0</v>
      </c>
      <c r="E46" s="51">
        <f t="shared" si="10"/>
        <v>0</v>
      </c>
      <c r="F46" s="51">
        <f t="shared" si="10"/>
        <v>0</v>
      </c>
      <c r="G46" s="51">
        <f t="shared" si="10"/>
        <v>0</v>
      </c>
      <c r="H46" s="53">
        <f t="shared" si="10"/>
        <v>26</v>
      </c>
      <c r="I46" s="53">
        <f t="shared" si="10"/>
        <v>12</v>
      </c>
      <c r="J46" s="53">
        <f t="shared" si="10"/>
        <v>16</v>
      </c>
      <c r="K46" s="53">
        <f t="shared" si="10"/>
        <v>2</v>
      </c>
      <c r="L46" s="51">
        <f t="shared" si="10"/>
        <v>0</v>
      </c>
      <c r="M46" s="51">
        <f t="shared" si="10"/>
        <v>0</v>
      </c>
      <c r="N46" s="51">
        <f t="shared" si="10"/>
        <v>0</v>
      </c>
      <c r="O46" s="51">
        <f t="shared" si="10"/>
        <v>0</v>
      </c>
      <c r="P46" s="53">
        <f t="shared" si="10"/>
        <v>0</v>
      </c>
      <c r="Q46" s="53">
        <f t="shared" si="10"/>
        <v>0</v>
      </c>
      <c r="R46" s="53">
        <f t="shared" si="10"/>
        <v>0</v>
      </c>
      <c r="S46" s="53">
        <f t="shared" si="10"/>
        <v>0</v>
      </c>
      <c r="T46" s="54">
        <f t="shared" si="10"/>
        <v>2</v>
      </c>
      <c r="U46" s="54">
        <f t="shared" si="10"/>
        <v>0</v>
      </c>
      <c r="V46" s="135">
        <f t="shared" si="10"/>
        <v>0</v>
      </c>
      <c r="W46" s="135">
        <f t="shared" si="10"/>
        <v>11</v>
      </c>
    </row>
    <row r="47" spans="1:23" ht="18" customHeight="1" x14ac:dyDescent="0.25">
      <c r="A47" s="55" t="s">
        <v>430</v>
      </c>
      <c r="B47" s="56" t="s">
        <v>429</v>
      </c>
      <c r="C47" s="45">
        <v>44</v>
      </c>
      <c r="D47" s="57"/>
      <c r="E47" s="57"/>
      <c r="F47" s="57"/>
      <c r="G47" s="57"/>
      <c r="H47" s="58">
        <v>23</v>
      </c>
      <c r="I47" s="58">
        <v>11</v>
      </c>
      <c r="J47" s="58">
        <v>14</v>
      </c>
      <c r="K47" s="58">
        <v>1</v>
      </c>
      <c r="L47" s="57"/>
      <c r="M47" s="57"/>
      <c r="N47" s="57"/>
      <c r="O47" s="57"/>
      <c r="P47" s="58"/>
      <c r="Q47" s="58"/>
      <c r="R47" s="58"/>
      <c r="S47" s="58"/>
      <c r="T47" s="59">
        <v>1</v>
      </c>
      <c r="U47" s="59"/>
      <c r="V47" s="136"/>
      <c r="W47" s="136">
        <v>11</v>
      </c>
    </row>
    <row r="48" spans="1:23" ht="18" customHeight="1" x14ac:dyDescent="0.25">
      <c r="A48" s="55" t="s">
        <v>430</v>
      </c>
      <c r="B48" s="56" t="s">
        <v>428</v>
      </c>
      <c r="C48" s="45">
        <v>45</v>
      </c>
      <c r="D48" s="57"/>
      <c r="E48" s="57"/>
      <c r="F48" s="57"/>
      <c r="G48" s="57"/>
      <c r="H48" s="58"/>
      <c r="I48" s="58"/>
      <c r="J48" s="58"/>
      <c r="K48" s="58"/>
      <c r="L48" s="57"/>
      <c r="M48" s="57"/>
      <c r="N48" s="57"/>
      <c r="O48" s="57"/>
      <c r="P48" s="58"/>
      <c r="Q48" s="58"/>
      <c r="R48" s="58"/>
      <c r="S48" s="58"/>
      <c r="T48" s="59"/>
      <c r="U48" s="59"/>
      <c r="V48" s="136"/>
      <c r="W48" s="136"/>
    </row>
    <row r="49" spans="1:23" ht="18" customHeight="1" x14ac:dyDescent="0.25">
      <c r="A49" s="55" t="s">
        <v>430</v>
      </c>
      <c r="B49" s="60" t="s">
        <v>427</v>
      </c>
      <c r="C49" s="45">
        <v>46</v>
      </c>
      <c r="D49" s="57"/>
      <c r="E49" s="57"/>
      <c r="F49" s="57"/>
      <c r="G49" s="57"/>
      <c r="H49" s="58">
        <v>1</v>
      </c>
      <c r="I49" s="58"/>
      <c r="J49" s="58"/>
      <c r="K49" s="58"/>
      <c r="L49" s="57"/>
      <c r="M49" s="57"/>
      <c r="N49" s="57"/>
      <c r="O49" s="57"/>
      <c r="P49" s="58"/>
      <c r="Q49" s="58"/>
      <c r="R49" s="58"/>
      <c r="S49" s="58"/>
      <c r="T49" s="59"/>
      <c r="U49" s="59"/>
      <c r="V49" s="136"/>
      <c r="W49" s="136"/>
    </row>
    <row r="50" spans="1:23" ht="18" customHeight="1" x14ac:dyDescent="0.25">
      <c r="A50" s="55" t="s">
        <v>430</v>
      </c>
      <c r="B50" s="60" t="s">
        <v>426</v>
      </c>
      <c r="C50" s="45">
        <v>47</v>
      </c>
      <c r="D50" s="57"/>
      <c r="E50" s="57"/>
      <c r="F50" s="57"/>
      <c r="G50" s="57"/>
      <c r="H50" s="58">
        <v>2</v>
      </c>
      <c r="I50" s="58">
        <v>1</v>
      </c>
      <c r="J50" s="58">
        <v>2</v>
      </c>
      <c r="K50" s="58">
        <v>1</v>
      </c>
      <c r="L50" s="57"/>
      <c r="M50" s="57"/>
      <c r="N50" s="57"/>
      <c r="O50" s="57"/>
      <c r="P50" s="58"/>
      <c r="Q50" s="58"/>
      <c r="R50" s="58"/>
      <c r="S50" s="58"/>
      <c r="T50" s="59">
        <v>1</v>
      </c>
      <c r="U50" s="59"/>
      <c r="V50" s="136"/>
      <c r="W50" s="136"/>
    </row>
    <row r="51" spans="1:23" ht="18" customHeight="1" x14ac:dyDescent="0.25">
      <c r="A51" s="55"/>
      <c r="B51" s="60" t="s">
        <v>930</v>
      </c>
      <c r="C51" s="45">
        <v>48</v>
      </c>
      <c r="D51" s="57"/>
      <c r="E51" s="57"/>
      <c r="F51" s="57"/>
      <c r="G51" s="57"/>
      <c r="H51" s="58"/>
      <c r="I51" s="58"/>
      <c r="J51" s="58"/>
      <c r="K51" s="58"/>
      <c r="L51" s="57"/>
      <c r="M51" s="57"/>
      <c r="N51" s="57"/>
      <c r="O51" s="57"/>
      <c r="P51" s="58"/>
      <c r="Q51" s="58"/>
      <c r="R51" s="58"/>
      <c r="S51" s="58"/>
      <c r="T51" s="59"/>
      <c r="U51" s="59"/>
      <c r="V51" s="136"/>
      <c r="W51" s="136"/>
    </row>
    <row r="52" spans="1:23" ht="18" customHeight="1" x14ac:dyDescent="0.25">
      <c r="A52" s="55" t="s">
        <v>430</v>
      </c>
      <c r="B52" s="60" t="s">
        <v>425</v>
      </c>
      <c r="C52" s="45">
        <v>49</v>
      </c>
      <c r="D52" s="57"/>
      <c r="E52" s="57"/>
      <c r="F52" s="57"/>
      <c r="G52" s="57"/>
      <c r="H52" s="58"/>
      <c r="I52" s="58"/>
      <c r="J52" s="58"/>
      <c r="K52" s="58"/>
      <c r="L52" s="57"/>
      <c r="M52" s="57"/>
      <c r="N52" s="57"/>
      <c r="O52" s="57"/>
      <c r="P52" s="58"/>
      <c r="Q52" s="58"/>
      <c r="R52" s="58"/>
      <c r="S52" s="58"/>
      <c r="T52" s="59"/>
      <c r="U52" s="59"/>
      <c r="V52" s="136"/>
      <c r="W52" s="136"/>
    </row>
    <row r="53" spans="1:23" ht="18" customHeight="1" x14ac:dyDescent="0.25">
      <c r="A53" s="55" t="s">
        <v>430</v>
      </c>
      <c r="B53" s="60" t="s">
        <v>424</v>
      </c>
      <c r="C53" s="45">
        <v>50</v>
      </c>
      <c r="D53" s="57"/>
      <c r="E53" s="57"/>
      <c r="F53" s="57"/>
      <c r="G53" s="57"/>
      <c r="H53" s="58"/>
      <c r="I53" s="58"/>
      <c r="J53" s="58"/>
      <c r="K53" s="58"/>
      <c r="L53" s="57"/>
      <c r="M53" s="57"/>
      <c r="N53" s="57"/>
      <c r="O53" s="57"/>
      <c r="P53" s="58"/>
      <c r="Q53" s="58"/>
      <c r="R53" s="58"/>
      <c r="S53" s="58"/>
      <c r="T53" s="59"/>
      <c r="U53" s="59"/>
      <c r="V53" s="136"/>
      <c r="W53" s="136"/>
    </row>
    <row r="54" spans="1:23" ht="18" customHeight="1" x14ac:dyDescent="0.25">
      <c r="A54" s="55" t="s">
        <v>430</v>
      </c>
      <c r="B54" s="60" t="s">
        <v>423</v>
      </c>
      <c r="C54" s="45">
        <v>51</v>
      </c>
      <c r="D54" s="57"/>
      <c r="E54" s="57"/>
      <c r="F54" s="57"/>
      <c r="G54" s="57"/>
      <c r="H54" s="58"/>
      <c r="I54" s="58"/>
      <c r="J54" s="58"/>
      <c r="K54" s="58"/>
      <c r="L54" s="57"/>
      <c r="M54" s="57"/>
      <c r="N54" s="57"/>
      <c r="O54" s="57"/>
      <c r="P54" s="58"/>
      <c r="Q54" s="58"/>
      <c r="R54" s="58"/>
      <c r="S54" s="58"/>
      <c r="T54" s="59"/>
      <c r="U54" s="59"/>
      <c r="V54" s="136"/>
      <c r="W54" s="136"/>
    </row>
    <row r="55" spans="1:23" ht="18" customHeight="1" x14ac:dyDescent="0.25">
      <c r="A55" s="55" t="s">
        <v>430</v>
      </c>
      <c r="B55" s="60" t="s">
        <v>422</v>
      </c>
      <c r="C55" s="45">
        <v>52</v>
      </c>
      <c r="D55" s="57"/>
      <c r="E55" s="57"/>
      <c r="F55" s="57"/>
      <c r="G55" s="57"/>
      <c r="H55" s="58"/>
      <c r="I55" s="58"/>
      <c r="J55" s="58"/>
      <c r="K55" s="58"/>
      <c r="L55" s="57"/>
      <c r="M55" s="57"/>
      <c r="N55" s="57"/>
      <c r="O55" s="57"/>
      <c r="P55" s="58"/>
      <c r="Q55" s="58"/>
      <c r="R55" s="58"/>
      <c r="S55" s="58"/>
      <c r="T55" s="59"/>
      <c r="U55" s="59"/>
      <c r="V55" s="136"/>
      <c r="W55" s="136"/>
    </row>
    <row r="56" spans="1:23" ht="18" customHeight="1" x14ac:dyDescent="0.25">
      <c r="A56" s="49" t="s">
        <v>421</v>
      </c>
      <c r="B56" s="50"/>
      <c r="C56" s="45">
        <v>53</v>
      </c>
      <c r="D56" s="51">
        <f>SUM(D57:D63)</f>
        <v>0</v>
      </c>
      <c r="E56" s="51">
        <f t="shared" ref="E56:W56" si="11">SUM(E57:E63)</f>
        <v>0</v>
      </c>
      <c r="F56" s="51">
        <f t="shared" si="11"/>
        <v>0</v>
      </c>
      <c r="G56" s="51">
        <f t="shared" si="11"/>
        <v>0</v>
      </c>
      <c r="H56" s="53">
        <f t="shared" si="11"/>
        <v>8</v>
      </c>
      <c r="I56" s="53">
        <f t="shared" si="11"/>
        <v>5</v>
      </c>
      <c r="J56" s="53">
        <f t="shared" si="11"/>
        <v>8</v>
      </c>
      <c r="K56" s="53">
        <f t="shared" si="11"/>
        <v>2</v>
      </c>
      <c r="L56" s="51">
        <f t="shared" si="11"/>
        <v>0</v>
      </c>
      <c r="M56" s="51">
        <f t="shared" si="11"/>
        <v>0</v>
      </c>
      <c r="N56" s="51">
        <f t="shared" si="11"/>
        <v>0</v>
      </c>
      <c r="O56" s="51">
        <f t="shared" si="11"/>
        <v>0</v>
      </c>
      <c r="P56" s="53">
        <f t="shared" si="11"/>
        <v>0</v>
      </c>
      <c r="Q56" s="53">
        <f t="shared" si="11"/>
        <v>0</v>
      </c>
      <c r="R56" s="53">
        <f t="shared" si="11"/>
        <v>0</v>
      </c>
      <c r="S56" s="53">
        <f t="shared" si="11"/>
        <v>0</v>
      </c>
      <c r="T56" s="54">
        <f t="shared" si="11"/>
        <v>0</v>
      </c>
      <c r="U56" s="54">
        <f t="shared" si="11"/>
        <v>0</v>
      </c>
      <c r="V56" s="135">
        <f t="shared" si="11"/>
        <v>0</v>
      </c>
      <c r="W56" s="135">
        <f t="shared" si="11"/>
        <v>0</v>
      </c>
    </row>
    <row r="57" spans="1:23" ht="18" customHeight="1" x14ac:dyDescent="0.25">
      <c r="A57" s="55" t="s">
        <v>421</v>
      </c>
      <c r="B57" s="56" t="s">
        <v>420</v>
      </c>
      <c r="C57" s="45">
        <v>54</v>
      </c>
      <c r="D57" s="57"/>
      <c r="E57" s="57"/>
      <c r="F57" s="57"/>
      <c r="G57" s="57"/>
      <c r="H57" s="58">
        <v>5</v>
      </c>
      <c r="I57" s="58">
        <v>3</v>
      </c>
      <c r="J57" s="58">
        <v>5</v>
      </c>
      <c r="K57" s="58"/>
      <c r="L57" s="57"/>
      <c r="M57" s="57"/>
      <c r="N57" s="57"/>
      <c r="O57" s="57"/>
      <c r="P57" s="58"/>
      <c r="Q57" s="58"/>
      <c r="R57" s="58"/>
      <c r="S57" s="58"/>
      <c r="T57" s="59"/>
      <c r="U57" s="59"/>
      <c r="V57" s="136"/>
      <c r="W57" s="136"/>
    </row>
    <row r="58" spans="1:23" ht="18" customHeight="1" x14ac:dyDescent="0.25">
      <c r="A58" s="55" t="s">
        <v>421</v>
      </c>
      <c r="B58" s="56" t="s">
        <v>419</v>
      </c>
      <c r="C58" s="45">
        <v>55</v>
      </c>
      <c r="D58" s="57"/>
      <c r="E58" s="57"/>
      <c r="F58" s="57"/>
      <c r="G58" s="57"/>
      <c r="H58" s="58"/>
      <c r="I58" s="58"/>
      <c r="J58" s="58"/>
      <c r="K58" s="58"/>
      <c r="L58" s="57"/>
      <c r="M58" s="57"/>
      <c r="N58" s="57"/>
      <c r="O58" s="57"/>
      <c r="P58" s="58"/>
      <c r="Q58" s="58"/>
      <c r="R58" s="58"/>
      <c r="S58" s="58"/>
      <c r="T58" s="59"/>
      <c r="U58" s="59"/>
      <c r="V58" s="136"/>
      <c r="W58" s="136"/>
    </row>
    <row r="59" spans="1:23" ht="18" customHeight="1" x14ac:dyDescent="0.25">
      <c r="A59" s="55" t="s">
        <v>421</v>
      </c>
      <c r="B59" s="56" t="s">
        <v>418</v>
      </c>
      <c r="C59" s="45">
        <v>56</v>
      </c>
      <c r="D59" s="57"/>
      <c r="E59" s="57"/>
      <c r="F59" s="57"/>
      <c r="G59" s="57"/>
      <c r="H59" s="58"/>
      <c r="I59" s="58"/>
      <c r="J59" s="58"/>
      <c r="K59" s="58"/>
      <c r="L59" s="57"/>
      <c r="M59" s="57"/>
      <c r="N59" s="57"/>
      <c r="O59" s="57"/>
      <c r="P59" s="58"/>
      <c r="Q59" s="58"/>
      <c r="R59" s="58"/>
      <c r="S59" s="58"/>
      <c r="T59" s="59"/>
      <c r="U59" s="59"/>
      <c r="V59" s="136"/>
      <c r="W59" s="136"/>
    </row>
    <row r="60" spans="1:23" ht="18" customHeight="1" x14ac:dyDescent="0.25">
      <c r="A60" s="55" t="s">
        <v>421</v>
      </c>
      <c r="B60" s="60" t="s">
        <v>417</v>
      </c>
      <c r="C60" s="45">
        <v>57</v>
      </c>
      <c r="D60" s="57"/>
      <c r="E60" s="57"/>
      <c r="F60" s="57"/>
      <c r="G60" s="57"/>
      <c r="H60" s="58">
        <v>1</v>
      </c>
      <c r="I60" s="58">
        <v>1</v>
      </c>
      <c r="J60" s="58">
        <v>1</v>
      </c>
      <c r="K60" s="58">
        <v>2</v>
      </c>
      <c r="L60" s="57"/>
      <c r="M60" s="57"/>
      <c r="N60" s="57"/>
      <c r="O60" s="57"/>
      <c r="P60" s="58"/>
      <c r="Q60" s="58"/>
      <c r="R60" s="58"/>
      <c r="S60" s="58"/>
      <c r="T60" s="59"/>
      <c r="U60" s="59"/>
      <c r="V60" s="136"/>
      <c r="W60" s="136"/>
    </row>
    <row r="61" spans="1:23" ht="18" customHeight="1" x14ac:dyDescent="0.25">
      <c r="A61" s="55" t="s">
        <v>421</v>
      </c>
      <c r="B61" s="56" t="s">
        <v>416</v>
      </c>
      <c r="C61" s="45">
        <v>58</v>
      </c>
      <c r="D61" s="57"/>
      <c r="E61" s="57"/>
      <c r="F61" s="57"/>
      <c r="G61" s="57"/>
      <c r="H61" s="58">
        <v>2</v>
      </c>
      <c r="I61" s="58">
        <v>1</v>
      </c>
      <c r="J61" s="58">
        <v>2</v>
      </c>
      <c r="K61" s="58"/>
      <c r="L61" s="57"/>
      <c r="M61" s="57"/>
      <c r="N61" s="57"/>
      <c r="O61" s="57"/>
      <c r="P61" s="58"/>
      <c r="Q61" s="58"/>
      <c r="R61" s="58"/>
      <c r="S61" s="58"/>
      <c r="T61" s="59"/>
      <c r="U61" s="59"/>
      <c r="V61" s="136"/>
      <c r="W61" s="136"/>
    </row>
    <row r="62" spans="1:23" ht="18" customHeight="1" x14ac:dyDescent="0.25">
      <c r="A62" s="55" t="s">
        <v>421</v>
      </c>
      <c r="B62" s="56" t="s">
        <v>415</v>
      </c>
      <c r="C62" s="45">
        <v>59</v>
      </c>
      <c r="D62" s="57"/>
      <c r="E62" s="57"/>
      <c r="F62" s="57"/>
      <c r="G62" s="57"/>
      <c r="H62" s="58"/>
      <c r="I62" s="58"/>
      <c r="J62" s="58"/>
      <c r="K62" s="58"/>
      <c r="L62" s="57"/>
      <c r="M62" s="57"/>
      <c r="N62" s="57"/>
      <c r="O62" s="57"/>
      <c r="P62" s="58"/>
      <c r="Q62" s="58"/>
      <c r="R62" s="58"/>
      <c r="S62" s="58"/>
      <c r="T62" s="59"/>
      <c r="U62" s="59"/>
      <c r="V62" s="136"/>
      <c r="W62" s="136"/>
    </row>
    <row r="63" spans="1:23" ht="18" customHeight="1" x14ac:dyDescent="0.25">
      <c r="A63" s="55" t="s">
        <v>421</v>
      </c>
      <c r="B63" s="56" t="s">
        <v>414</v>
      </c>
      <c r="C63" s="45">
        <v>60</v>
      </c>
      <c r="D63" s="57"/>
      <c r="E63" s="57"/>
      <c r="F63" s="57"/>
      <c r="G63" s="57"/>
      <c r="H63" s="58"/>
      <c r="I63" s="58"/>
      <c r="J63" s="58"/>
      <c r="K63" s="58"/>
      <c r="L63" s="57"/>
      <c r="M63" s="57"/>
      <c r="N63" s="57"/>
      <c r="O63" s="57"/>
      <c r="P63" s="58"/>
      <c r="Q63" s="58"/>
      <c r="R63" s="58"/>
      <c r="S63" s="58"/>
      <c r="T63" s="59"/>
      <c r="U63" s="59"/>
      <c r="V63" s="136"/>
      <c r="W63" s="136"/>
    </row>
    <row r="64" spans="1:23" ht="18" customHeight="1" x14ac:dyDescent="0.25">
      <c r="A64" s="49" t="s">
        <v>413</v>
      </c>
      <c r="B64" s="50"/>
      <c r="C64" s="45">
        <v>61</v>
      </c>
      <c r="D64" s="51">
        <f>SUM(D65:D81)</f>
        <v>0</v>
      </c>
      <c r="E64" s="51">
        <f t="shared" ref="E64:U64" si="12">SUM(E65:E81)</f>
        <v>0</v>
      </c>
      <c r="F64" s="51">
        <f t="shared" si="12"/>
        <v>0</v>
      </c>
      <c r="G64" s="51">
        <f t="shared" si="12"/>
        <v>0</v>
      </c>
      <c r="H64" s="53">
        <f t="shared" si="12"/>
        <v>77</v>
      </c>
      <c r="I64" s="53">
        <f t="shared" si="12"/>
        <v>63</v>
      </c>
      <c r="J64" s="53">
        <f t="shared" si="12"/>
        <v>68</v>
      </c>
      <c r="K64" s="53">
        <f t="shared" si="12"/>
        <v>6</v>
      </c>
      <c r="L64" s="51">
        <f t="shared" si="12"/>
        <v>0</v>
      </c>
      <c r="M64" s="51">
        <f t="shared" si="12"/>
        <v>0</v>
      </c>
      <c r="N64" s="51">
        <f t="shared" si="12"/>
        <v>0</v>
      </c>
      <c r="O64" s="51">
        <f t="shared" si="12"/>
        <v>0</v>
      </c>
      <c r="P64" s="53">
        <f t="shared" si="12"/>
        <v>0</v>
      </c>
      <c r="Q64" s="53">
        <f t="shared" si="12"/>
        <v>0</v>
      </c>
      <c r="R64" s="53">
        <f t="shared" si="12"/>
        <v>0</v>
      </c>
      <c r="S64" s="53">
        <f t="shared" si="12"/>
        <v>0</v>
      </c>
      <c r="T64" s="54">
        <f t="shared" si="12"/>
        <v>3</v>
      </c>
      <c r="U64" s="54">
        <f t="shared" si="12"/>
        <v>0</v>
      </c>
      <c r="V64" s="135">
        <f t="shared" ref="V64:W64" si="13">SUM(V65:V81)</f>
        <v>62</v>
      </c>
      <c r="W64" s="135">
        <f t="shared" si="13"/>
        <v>2</v>
      </c>
    </row>
    <row r="65" spans="1:23" ht="18" customHeight="1" x14ac:dyDescent="0.25">
      <c r="A65" s="55" t="s">
        <v>413</v>
      </c>
      <c r="B65" s="56" t="s">
        <v>412</v>
      </c>
      <c r="C65" s="45">
        <v>62</v>
      </c>
      <c r="D65" s="57"/>
      <c r="E65" s="57"/>
      <c r="F65" s="57"/>
      <c r="G65" s="57"/>
      <c r="H65" s="58"/>
      <c r="I65" s="58"/>
      <c r="J65" s="58"/>
      <c r="K65" s="58"/>
      <c r="L65" s="57"/>
      <c r="M65" s="57"/>
      <c r="N65" s="57"/>
      <c r="O65" s="57"/>
      <c r="P65" s="58"/>
      <c r="Q65" s="58"/>
      <c r="R65" s="58"/>
      <c r="S65" s="58"/>
      <c r="T65" s="59"/>
      <c r="U65" s="59"/>
      <c r="V65" s="136"/>
      <c r="W65" s="136"/>
    </row>
    <row r="66" spans="1:23" ht="18" customHeight="1" x14ac:dyDescent="0.25">
      <c r="A66" s="55" t="s">
        <v>413</v>
      </c>
      <c r="B66" s="56" t="s">
        <v>411</v>
      </c>
      <c r="C66" s="45">
        <v>63</v>
      </c>
      <c r="D66" s="57"/>
      <c r="E66" s="57"/>
      <c r="F66" s="57"/>
      <c r="G66" s="57"/>
      <c r="H66" s="58"/>
      <c r="I66" s="58"/>
      <c r="J66" s="58"/>
      <c r="K66" s="58"/>
      <c r="L66" s="57"/>
      <c r="M66" s="57"/>
      <c r="N66" s="57"/>
      <c r="O66" s="57"/>
      <c r="P66" s="58"/>
      <c r="Q66" s="58"/>
      <c r="R66" s="58"/>
      <c r="S66" s="58"/>
      <c r="T66" s="59"/>
      <c r="U66" s="59"/>
      <c r="V66" s="136"/>
      <c r="W66" s="136"/>
    </row>
    <row r="67" spans="1:23" ht="18" customHeight="1" x14ac:dyDescent="0.25">
      <c r="A67" s="55" t="s">
        <v>413</v>
      </c>
      <c r="B67" s="56" t="s">
        <v>410</v>
      </c>
      <c r="C67" s="45">
        <v>64</v>
      </c>
      <c r="D67" s="57"/>
      <c r="E67" s="57"/>
      <c r="F67" s="57"/>
      <c r="G67" s="57"/>
      <c r="H67" s="58"/>
      <c r="I67" s="58"/>
      <c r="J67" s="58"/>
      <c r="K67" s="58"/>
      <c r="L67" s="57"/>
      <c r="M67" s="57"/>
      <c r="N67" s="57"/>
      <c r="O67" s="57"/>
      <c r="P67" s="58"/>
      <c r="Q67" s="58"/>
      <c r="R67" s="58"/>
      <c r="S67" s="58"/>
      <c r="T67" s="59"/>
      <c r="U67" s="59"/>
      <c r="V67" s="136"/>
      <c r="W67" s="136"/>
    </row>
    <row r="68" spans="1:23" ht="18" customHeight="1" x14ac:dyDescent="0.25">
      <c r="A68" s="55" t="s">
        <v>413</v>
      </c>
      <c r="B68" s="56" t="s">
        <v>409</v>
      </c>
      <c r="C68" s="45">
        <v>65</v>
      </c>
      <c r="D68" s="57"/>
      <c r="E68" s="57"/>
      <c r="F68" s="57"/>
      <c r="G68" s="57"/>
      <c r="H68" s="58">
        <v>4</v>
      </c>
      <c r="I68" s="58">
        <v>3</v>
      </c>
      <c r="J68" s="58">
        <v>6</v>
      </c>
      <c r="K68" s="58">
        <v>1</v>
      </c>
      <c r="L68" s="57"/>
      <c r="M68" s="57"/>
      <c r="N68" s="57"/>
      <c r="O68" s="57"/>
      <c r="P68" s="58"/>
      <c r="Q68" s="58"/>
      <c r="R68" s="58"/>
      <c r="S68" s="58"/>
      <c r="T68" s="59">
        <v>2</v>
      </c>
      <c r="U68" s="59"/>
      <c r="V68" s="136"/>
      <c r="W68" s="136">
        <v>2</v>
      </c>
    </row>
    <row r="69" spans="1:23" ht="18" customHeight="1" x14ac:dyDescent="0.25">
      <c r="A69" s="55" t="s">
        <v>413</v>
      </c>
      <c r="B69" s="60" t="s">
        <v>408</v>
      </c>
      <c r="C69" s="45">
        <v>66</v>
      </c>
      <c r="D69" s="57"/>
      <c r="E69" s="57"/>
      <c r="F69" s="57"/>
      <c r="G69" s="57"/>
      <c r="H69" s="58"/>
      <c r="I69" s="58"/>
      <c r="J69" s="58"/>
      <c r="K69" s="58"/>
      <c r="L69" s="57"/>
      <c r="M69" s="57"/>
      <c r="N69" s="57"/>
      <c r="O69" s="57"/>
      <c r="P69" s="58"/>
      <c r="Q69" s="58"/>
      <c r="R69" s="58"/>
      <c r="S69" s="58"/>
      <c r="T69" s="59"/>
      <c r="U69" s="59"/>
      <c r="V69" s="136"/>
      <c r="W69" s="136"/>
    </row>
    <row r="70" spans="1:23" ht="18" customHeight="1" x14ac:dyDescent="0.25">
      <c r="A70" s="55" t="s">
        <v>413</v>
      </c>
      <c r="B70" s="56" t="s">
        <v>407</v>
      </c>
      <c r="C70" s="45">
        <v>67</v>
      </c>
      <c r="D70" s="57"/>
      <c r="E70" s="57"/>
      <c r="F70" s="57"/>
      <c r="G70" s="57"/>
      <c r="H70" s="58">
        <v>2</v>
      </c>
      <c r="I70" s="58">
        <v>1</v>
      </c>
      <c r="J70" s="58">
        <v>1</v>
      </c>
      <c r="K70" s="58">
        <v>1</v>
      </c>
      <c r="L70" s="57"/>
      <c r="M70" s="57"/>
      <c r="N70" s="57"/>
      <c r="O70" s="57"/>
      <c r="P70" s="58"/>
      <c r="Q70" s="58"/>
      <c r="R70" s="58"/>
      <c r="S70" s="58"/>
      <c r="T70" s="59"/>
      <c r="U70" s="59"/>
      <c r="V70" s="136">
        <v>2</v>
      </c>
      <c r="W70" s="136"/>
    </row>
    <row r="71" spans="1:23" ht="18" customHeight="1" x14ac:dyDescent="0.25">
      <c r="A71" s="55" t="s">
        <v>413</v>
      </c>
      <c r="B71" s="56" t="s">
        <v>406</v>
      </c>
      <c r="C71" s="45">
        <v>68</v>
      </c>
      <c r="D71" s="57"/>
      <c r="E71" s="57"/>
      <c r="F71" s="57"/>
      <c r="G71" s="57"/>
      <c r="H71" s="58">
        <v>69</v>
      </c>
      <c r="I71" s="58">
        <v>58</v>
      </c>
      <c r="J71" s="58">
        <v>60</v>
      </c>
      <c r="K71" s="58">
        <v>4</v>
      </c>
      <c r="L71" s="57"/>
      <c r="M71" s="57"/>
      <c r="N71" s="57"/>
      <c r="O71" s="57"/>
      <c r="P71" s="58"/>
      <c r="Q71" s="58"/>
      <c r="R71" s="58"/>
      <c r="S71" s="58"/>
      <c r="T71" s="59">
        <v>1</v>
      </c>
      <c r="U71" s="59"/>
      <c r="V71" s="136">
        <v>59</v>
      </c>
      <c r="W71" s="136"/>
    </row>
    <row r="72" spans="1:23" ht="18" customHeight="1" x14ac:dyDescent="0.25">
      <c r="A72" s="55" t="s">
        <v>413</v>
      </c>
      <c r="B72" s="56" t="s">
        <v>405</v>
      </c>
      <c r="C72" s="45">
        <v>69</v>
      </c>
      <c r="D72" s="57"/>
      <c r="E72" s="57"/>
      <c r="F72" s="57"/>
      <c r="G72" s="57"/>
      <c r="H72" s="58"/>
      <c r="I72" s="58"/>
      <c r="J72" s="58"/>
      <c r="K72" s="58"/>
      <c r="L72" s="57"/>
      <c r="M72" s="57"/>
      <c r="N72" s="57"/>
      <c r="O72" s="57"/>
      <c r="P72" s="58"/>
      <c r="Q72" s="58"/>
      <c r="R72" s="58"/>
      <c r="S72" s="58"/>
      <c r="T72" s="59"/>
      <c r="U72" s="59"/>
      <c r="V72" s="136"/>
      <c r="W72" s="136"/>
    </row>
    <row r="73" spans="1:23" ht="18" customHeight="1" x14ac:dyDescent="0.25">
      <c r="A73" s="55" t="s">
        <v>413</v>
      </c>
      <c r="B73" s="56" t="s">
        <v>404</v>
      </c>
      <c r="C73" s="45">
        <v>70</v>
      </c>
      <c r="D73" s="57"/>
      <c r="E73" s="57"/>
      <c r="F73" s="57"/>
      <c r="G73" s="57"/>
      <c r="H73" s="58">
        <v>2</v>
      </c>
      <c r="I73" s="58">
        <v>1</v>
      </c>
      <c r="J73" s="58">
        <v>1</v>
      </c>
      <c r="K73" s="58"/>
      <c r="L73" s="57"/>
      <c r="M73" s="57"/>
      <c r="N73" s="57"/>
      <c r="O73" s="57"/>
      <c r="P73" s="58"/>
      <c r="Q73" s="58"/>
      <c r="R73" s="58"/>
      <c r="S73" s="58"/>
      <c r="T73" s="59"/>
      <c r="U73" s="59"/>
      <c r="V73" s="136">
        <v>1</v>
      </c>
      <c r="W73" s="136"/>
    </row>
    <row r="74" spans="1:23" ht="18" customHeight="1" x14ac:dyDescent="0.25">
      <c r="A74" s="55" t="s">
        <v>413</v>
      </c>
      <c r="B74" s="56" t="s">
        <v>403</v>
      </c>
      <c r="C74" s="45">
        <v>71</v>
      </c>
      <c r="D74" s="57"/>
      <c r="E74" s="57"/>
      <c r="F74" s="57"/>
      <c r="G74" s="57"/>
      <c r="H74" s="58"/>
      <c r="I74" s="58"/>
      <c r="J74" s="58"/>
      <c r="K74" s="58"/>
      <c r="L74" s="57"/>
      <c r="M74" s="57"/>
      <c r="N74" s="57"/>
      <c r="O74" s="57"/>
      <c r="P74" s="58"/>
      <c r="Q74" s="58"/>
      <c r="R74" s="58"/>
      <c r="S74" s="58"/>
      <c r="T74" s="59"/>
      <c r="U74" s="59"/>
      <c r="V74" s="136"/>
      <c r="W74" s="136"/>
    </row>
    <row r="75" spans="1:23" ht="18" customHeight="1" x14ac:dyDescent="0.25">
      <c r="A75" s="55" t="s">
        <v>413</v>
      </c>
      <c r="B75" s="56" t="s">
        <v>402</v>
      </c>
      <c r="C75" s="45">
        <v>72</v>
      </c>
      <c r="D75" s="57"/>
      <c r="E75" s="57"/>
      <c r="F75" s="57"/>
      <c r="G75" s="57"/>
      <c r="H75" s="58"/>
      <c r="I75" s="58"/>
      <c r="J75" s="58"/>
      <c r="K75" s="58"/>
      <c r="L75" s="57"/>
      <c r="M75" s="57"/>
      <c r="N75" s="57"/>
      <c r="O75" s="57"/>
      <c r="P75" s="58"/>
      <c r="Q75" s="58"/>
      <c r="R75" s="58"/>
      <c r="S75" s="58"/>
      <c r="T75" s="59"/>
      <c r="U75" s="59"/>
      <c r="V75" s="136"/>
      <c r="W75" s="136"/>
    </row>
    <row r="76" spans="1:23" ht="18" customHeight="1" x14ac:dyDescent="0.25">
      <c r="A76" s="55" t="s">
        <v>413</v>
      </c>
      <c r="B76" s="56" t="s">
        <v>401</v>
      </c>
      <c r="C76" s="45">
        <v>73</v>
      </c>
      <c r="D76" s="57"/>
      <c r="E76" s="57"/>
      <c r="F76" s="57"/>
      <c r="G76" s="57"/>
      <c r="H76" s="58"/>
      <c r="I76" s="58"/>
      <c r="J76" s="58"/>
      <c r="K76" s="58"/>
      <c r="L76" s="57"/>
      <c r="M76" s="57"/>
      <c r="N76" s="57"/>
      <c r="O76" s="57"/>
      <c r="P76" s="58"/>
      <c r="Q76" s="58"/>
      <c r="R76" s="58"/>
      <c r="S76" s="58"/>
      <c r="T76" s="59"/>
      <c r="U76" s="59"/>
      <c r="V76" s="136"/>
      <c r="W76" s="136"/>
    </row>
    <row r="77" spans="1:23" ht="18" customHeight="1" x14ac:dyDescent="0.25">
      <c r="A77" s="55" t="s">
        <v>413</v>
      </c>
      <c r="B77" s="56" t="s">
        <v>400</v>
      </c>
      <c r="C77" s="45">
        <v>74</v>
      </c>
      <c r="D77" s="57"/>
      <c r="E77" s="57"/>
      <c r="F77" s="57"/>
      <c r="G77" s="57"/>
      <c r="H77" s="58"/>
      <c r="I77" s="58"/>
      <c r="J77" s="58"/>
      <c r="K77" s="58"/>
      <c r="L77" s="57"/>
      <c r="M77" s="57"/>
      <c r="N77" s="57"/>
      <c r="O77" s="57"/>
      <c r="P77" s="58"/>
      <c r="Q77" s="58"/>
      <c r="R77" s="58"/>
      <c r="S77" s="58"/>
      <c r="T77" s="59"/>
      <c r="U77" s="59"/>
      <c r="V77" s="136"/>
      <c r="W77" s="136"/>
    </row>
    <row r="78" spans="1:23" ht="18" customHeight="1" x14ac:dyDescent="0.25">
      <c r="A78" s="55" t="s">
        <v>413</v>
      </c>
      <c r="B78" s="60" t="s">
        <v>399</v>
      </c>
      <c r="C78" s="45">
        <v>75</v>
      </c>
      <c r="D78" s="57"/>
      <c r="E78" s="57"/>
      <c r="F78" s="57"/>
      <c r="G78" s="57"/>
      <c r="H78" s="58"/>
      <c r="I78" s="58"/>
      <c r="J78" s="58"/>
      <c r="K78" s="58"/>
      <c r="L78" s="57"/>
      <c r="M78" s="57"/>
      <c r="N78" s="57"/>
      <c r="O78" s="57"/>
      <c r="P78" s="58"/>
      <c r="Q78" s="58"/>
      <c r="R78" s="58"/>
      <c r="S78" s="58"/>
      <c r="T78" s="59"/>
      <c r="U78" s="59"/>
      <c r="V78" s="136"/>
      <c r="W78" s="136"/>
    </row>
    <row r="79" spans="1:23" ht="18" customHeight="1" x14ac:dyDescent="0.25">
      <c r="A79" s="55" t="s">
        <v>413</v>
      </c>
      <c r="B79" s="56" t="s">
        <v>398</v>
      </c>
      <c r="C79" s="45">
        <v>76</v>
      </c>
      <c r="D79" s="57"/>
      <c r="E79" s="57"/>
      <c r="F79" s="57"/>
      <c r="G79" s="57"/>
      <c r="H79" s="58"/>
      <c r="I79" s="58"/>
      <c r="J79" s="58"/>
      <c r="K79" s="58"/>
      <c r="L79" s="57"/>
      <c r="M79" s="57"/>
      <c r="N79" s="57"/>
      <c r="O79" s="57"/>
      <c r="P79" s="58"/>
      <c r="Q79" s="58"/>
      <c r="R79" s="58"/>
      <c r="S79" s="58"/>
      <c r="T79" s="59"/>
      <c r="U79" s="59"/>
      <c r="V79" s="136"/>
      <c r="W79" s="136"/>
    </row>
    <row r="80" spans="1:23" ht="18" customHeight="1" x14ac:dyDescent="0.25">
      <c r="A80" s="55" t="s">
        <v>413</v>
      </c>
      <c r="B80" s="56" t="s">
        <v>397</v>
      </c>
      <c r="C80" s="45">
        <v>77</v>
      </c>
      <c r="D80" s="57"/>
      <c r="E80" s="57"/>
      <c r="F80" s="57"/>
      <c r="G80" s="57"/>
      <c r="H80" s="58"/>
      <c r="I80" s="58"/>
      <c r="J80" s="58"/>
      <c r="K80" s="58"/>
      <c r="L80" s="57"/>
      <c r="M80" s="57"/>
      <c r="N80" s="57"/>
      <c r="O80" s="57"/>
      <c r="P80" s="58"/>
      <c r="Q80" s="58"/>
      <c r="R80" s="58"/>
      <c r="S80" s="58"/>
      <c r="T80" s="59"/>
      <c r="U80" s="59"/>
      <c r="V80" s="136"/>
      <c r="W80" s="136"/>
    </row>
    <row r="81" spans="1:23" ht="17.45" customHeight="1" x14ac:dyDescent="0.25">
      <c r="A81" s="55" t="s">
        <v>413</v>
      </c>
      <c r="B81" s="56" t="s">
        <v>396</v>
      </c>
      <c r="C81" s="45">
        <v>78</v>
      </c>
      <c r="D81" s="57"/>
      <c r="E81" s="57"/>
      <c r="F81" s="57"/>
      <c r="G81" s="57"/>
      <c r="H81" s="58"/>
      <c r="I81" s="58"/>
      <c r="J81" s="58"/>
      <c r="K81" s="58"/>
      <c r="L81" s="57"/>
      <c r="M81" s="57"/>
      <c r="N81" s="57"/>
      <c r="O81" s="57"/>
      <c r="P81" s="58"/>
      <c r="Q81" s="58"/>
      <c r="R81" s="58"/>
      <c r="S81" s="58"/>
      <c r="T81" s="59"/>
      <c r="U81" s="59"/>
      <c r="V81" s="136"/>
      <c r="W81" s="136"/>
    </row>
    <row r="82" spans="1:23" ht="17.45" customHeight="1" x14ac:dyDescent="0.25">
      <c r="A82" s="49" t="s">
        <v>395</v>
      </c>
      <c r="B82" s="50"/>
      <c r="C82" s="45">
        <v>79</v>
      </c>
      <c r="D82" s="51">
        <f>SUM(D83:D98)</f>
        <v>0</v>
      </c>
      <c r="E82" s="51">
        <f t="shared" ref="E82:U82" si="14">SUM(E83:E98)</f>
        <v>0</v>
      </c>
      <c r="F82" s="51">
        <f t="shared" si="14"/>
        <v>0</v>
      </c>
      <c r="G82" s="51">
        <f t="shared" si="14"/>
        <v>0</v>
      </c>
      <c r="H82" s="53">
        <f t="shared" si="14"/>
        <v>1</v>
      </c>
      <c r="I82" s="53">
        <f t="shared" si="14"/>
        <v>0</v>
      </c>
      <c r="J82" s="53">
        <f t="shared" si="14"/>
        <v>0</v>
      </c>
      <c r="K82" s="53">
        <f t="shared" si="14"/>
        <v>1</v>
      </c>
      <c r="L82" s="51">
        <f t="shared" si="14"/>
        <v>0</v>
      </c>
      <c r="M82" s="51">
        <f t="shared" si="14"/>
        <v>0</v>
      </c>
      <c r="N82" s="51">
        <f t="shared" si="14"/>
        <v>0</v>
      </c>
      <c r="O82" s="51">
        <f t="shared" si="14"/>
        <v>0</v>
      </c>
      <c r="P82" s="53">
        <f t="shared" si="14"/>
        <v>0</v>
      </c>
      <c r="Q82" s="53">
        <f t="shared" si="14"/>
        <v>0</v>
      </c>
      <c r="R82" s="53">
        <f t="shared" si="14"/>
        <v>0</v>
      </c>
      <c r="S82" s="53">
        <f t="shared" si="14"/>
        <v>0</v>
      </c>
      <c r="T82" s="54">
        <f t="shared" si="14"/>
        <v>0</v>
      </c>
      <c r="U82" s="54">
        <f t="shared" si="14"/>
        <v>0</v>
      </c>
      <c r="V82" s="135">
        <f t="shared" ref="V82:W82" si="15">SUM(V83:V98)</f>
        <v>0</v>
      </c>
      <c r="W82" s="135">
        <f t="shared" si="15"/>
        <v>0</v>
      </c>
    </row>
    <row r="83" spans="1:23" ht="17.45" customHeight="1" x14ac:dyDescent="0.25">
      <c r="A83" s="55" t="s">
        <v>395</v>
      </c>
      <c r="B83" s="60" t="s">
        <v>394</v>
      </c>
      <c r="C83" s="45">
        <v>80</v>
      </c>
      <c r="D83" s="57"/>
      <c r="E83" s="57"/>
      <c r="F83" s="57"/>
      <c r="G83" s="57"/>
      <c r="H83" s="58"/>
      <c r="I83" s="58"/>
      <c r="J83" s="58"/>
      <c r="K83" s="58"/>
      <c r="L83" s="57"/>
      <c r="M83" s="57"/>
      <c r="N83" s="57"/>
      <c r="O83" s="57"/>
      <c r="P83" s="58"/>
      <c r="Q83" s="58"/>
      <c r="R83" s="58"/>
      <c r="S83" s="58"/>
      <c r="T83" s="59"/>
      <c r="U83" s="59"/>
      <c r="V83" s="136"/>
      <c r="W83" s="136"/>
    </row>
    <row r="84" spans="1:23" ht="17.45" customHeight="1" x14ac:dyDescent="0.25">
      <c r="A84" s="55" t="s">
        <v>395</v>
      </c>
      <c r="B84" s="60" t="s">
        <v>393</v>
      </c>
      <c r="C84" s="45">
        <v>81</v>
      </c>
      <c r="D84" s="57"/>
      <c r="E84" s="57"/>
      <c r="F84" s="57"/>
      <c r="G84" s="57"/>
      <c r="H84" s="58"/>
      <c r="I84" s="58"/>
      <c r="J84" s="58"/>
      <c r="K84" s="58"/>
      <c r="L84" s="57"/>
      <c r="M84" s="57"/>
      <c r="N84" s="57"/>
      <c r="O84" s="57"/>
      <c r="P84" s="58"/>
      <c r="Q84" s="58"/>
      <c r="R84" s="58"/>
      <c r="S84" s="58"/>
      <c r="T84" s="59"/>
      <c r="U84" s="59"/>
      <c r="V84" s="136"/>
      <c r="W84" s="136"/>
    </row>
    <row r="85" spans="1:23" ht="17.45" customHeight="1" x14ac:dyDescent="0.25">
      <c r="A85" s="55" t="s">
        <v>395</v>
      </c>
      <c r="B85" s="60" t="s">
        <v>392</v>
      </c>
      <c r="C85" s="45">
        <v>82</v>
      </c>
      <c r="D85" s="57"/>
      <c r="E85" s="57"/>
      <c r="F85" s="57"/>
      <c r="G85" s="57"/>
      <c r="H85" s="58"/>
      <c r="I85" s="58"/>
      <c r="J85" s="58"/>
      <c r="K85" s="58"/>
      <c r="L85" s="57"/>
      <c r="M85" s="57"/>
      <c r="N85" s="57"/>
      <c r="O85" s="57"/>
      <c r="P85" s="58"/>
      <c r="Q85" s="58"/>
      <c r="R85" s="58"/>
      <c r="S85" s="58"/>
      <c r="T85" s="59"/>
      <c r="U85" s="59"/>
      <c r="V85" s="136"/>
      <c r="W85" s="136"/>
    </row>
    <row r="86" spans="1:23" ht="17.45" customHeight="1" x14ac:dyDescent="0.25">
      <c r="A86" s="55" t="s">
        <v>395</v>
      </c>
      <c r="B86" s="60" t="s">
        <v>391</v>
      </c>
      <c r="C86" s="45">
        <v>83</v>
      </c>
      <c r="D86" s="57"/>
      <c r="E86" s="57"/>
      <c r="F86" s="57"/>
      <c r="G86" s="57"/>
      <c r="H86" s="58"/>
      <c r="I86" s="58"/>
      <c r="J86" s="58"/>
      <c r="K86" s="58"/>
      <c r="L86" s="57"/>
      <c r="M86" s="57"/>
      <c r="N86" s="57"/>
      <c r="O86" s="57"/>
      <c r="P86" s="58"/>
      <c r="Q86" s="58"/>
      <c r="R86" s="58"/>
      <c r="S86" s="58"/>
      <c r="T86" s="59"/>
      <c r="U86" s="59"/>
      <c r="V86" s="136"/>
      <c r="W86" s="136"/>
    </row>
    <row r="87" spans="1:23" ht="17.45" customHeight="1" x14ac:dyDescent="0.25">
      <c r="A87" s="55" t="s">
        <v>395</v>
      </c>
      <c r="B87" s="60" t="s">
        <v>390</v>
      </c>
      <c r="C87" s="45">
        <v>84</v>
      </c>
      <c r="D87" s="57"/>
      <c r="E87" s="57"/>
      <c r="F87" s="57"/>
      <c r="G87" s="57"/>
      <c r="H87" s="58"/>
      <c r="I87" s="58"/>
      <c r="J87" s="58"/>
      <c r="K87" s="58"/>
      <c r="L87" s="57"/>
      <c r="M87" s="57"/>
      <c r="N87" s="57"/>
      <c r="O87" s="57"/>
      <c r="P87" s="58"/>
      <c r="Q87" s="58"/>
      <c r="R87" s="58"/>
      <c r="S87" s="58"/>
      <c r="T87" s="59"/>
      <c r="U87" s="59"/>
      <c r="V87" s="136"/>
      <c r="W87" s="136"/>
    </row>
    <row r="88" spans="1:23" ht="17.45" customHeight="1" x14ac:dyDescent="0.25">
      <c r="A88" s="55" t="s">
        <v>395</v>
      </c>
      <c r="B88" s="60" t="s">
        <v>389</v>
      </c>
      <c r="C88" s="45">
        <v>85</v>
      </c>
      <c r="D88" s="57"/>
      <c r="E88" s="57"/>
      <c r="F88" s="57"/>
      <c r="G88" s="57"/>
      <c r="H88" s="58"/>
      <c r="I88" s="58"/>
      <c r="J88" s="58"/>
      <c r="K88" s="58"/>
      <c r="L88" s="57"/>
      <c r="M88" s="57"/>
      <c r="N88" s="57"/>
      <c r="O88" s="57"/>
      <c r="P88" s="58"/>
      <c r="Q88" s="58"/>
      <c r="R88" s="58"/>
      <c r="S88" s="58"/>
      <c r="T88" s="59"/>
      <c r="U88" s="59"/>
      <c r="V88" s="136"/>
      <c r="W88" s="136"/>
    </row>
    <row r="89" spans="1:23" ht="17.45" customHeight="1" x14ac:dyDescent="0.25">
      <c r="A89" s="55" t="s">
        <v>395</v>
      </c>
      <c r="B89" s="60" t="s">
        <v>388</v>
      </c>
      <c r="C89" s="45">
        <v>86</v>
      </c>
      <c r="D89" s="57"/>
      <c r="E89" s="57"/>
      <c r="F89" s="57"/>
      <c r="G89" s="57"/>
      <c r="H89" s="58"/>
      <c r="I89" s="58"/>
      <c r="J89" s="58"/>
      <c r="K89" s="58"/>
      <c r="L89" s="57"/>
      <c r="M89" s="57"/>
      <c r="N89" s="57"/>
      <c r="O89" s="57"/>
      <c r="P89" s="58"/>
      <c r="Q89" s="58"/>
      <c r="R89" s="58"/>
      <c r="S89" s="58"/>
      <c r="T89" s="59"/>
      <c r="U89" s="59"/>
      <c r="V89" s="136"/>
      <c r="W89" s="136"/>
    </row>
    <row r="90" spans="1:23" ht="17.45" customHeight="1" x14ac:dyDescent="0.25">
      <c r="A90" s="55" t="s">
        <v>395</v>
      </c>
      <c r="B90" s="60" t="s">
        <v>387</v>
      </c>
      <c r="C90" s="45">
        <v>87</v>
      </c>
      <c r="D90" s="57"/>
      <c r="E90" s="57"/>
      <c r="F90" s="57"/>
      <c r="G90" s="57"/>
      <c r="H90" s="58">
        <v>1</v>
      </c>
      <c r="I90" s="58"/>
      <c r="J90" s="58"/>
      <c r="K90" s="58"/>
      <c r="L90" s="57"/>
      <c r="M90" s="57"/>
      <c r="N90" s="57"/>
      <c r="O90" s="57"/>
      <c r="P90" s="58"/>
      <c r="Q90" s="58"/>
      <c r="R90" s="58"/>
      <c r="S90" s="58"/>
      <c r="T90" s="59"/>
      <c r="U90" s="59"/>
      <c r="V90" s="136"/>
      <c r="W90" s="136"/>
    </row>
    <row r="91" spans="1:23" ht="17.45" customHeight="1" x14ac:dyDescent="0.25">
      <c r="A91" s="55" t="s">
        <v>395</v>
      </c>
      <c r="B91" s="60" t="s">
        <v>386</v>
      </c>
      <c r="C91" s="45">
        <v>88</v>
      </c>
      <c r="D91" s="57"/>
      <c r="E91" s="57"/>
      <c r="F91" s="57"/>
      <c r="G91" s="57"/>
      <c r="H91" s="58"/>
      <c r="I91" s="58"/>
      <c r="J91" s="58"/>
      <c r="K91" s="58"/>
      <c r="L91" s="57"/>
      <c r="M91" s="57"/>
      <c r="N91" s="57"/>
      <c r="O91" s="57"/>
      <c r="P91" s="58"/>
      <c r="Q91" s="58"/>
      <c r="R91" s="58"/>
      <c r="S91" s="58"/>
      <c r="T91" s="59"/>
      <c r="U91" s="59"/>
      <c r="V91" s="136"/>
      <c r="W91" s="136"/>
    </row>
    <row r="92" spans="1:23" ht="17.45" customHeight="1" x14ac:dyDescent="0.25">
      <c r="A92" s="55" t="s">
        <v>395</v>
      </c>
      <c r="B92" s="60" t="s">
        <v>385</v>
      </c>
      <c r="C92" s="45">
        <v>89</v>
      </c>
      <c r="D92" s="57"/>
      <c r="E92" s="57"/>
      <c r="F92" s="57"/>
      <c r="G92" s="57"/>
      <c r="H92" s="58"/>
      <c r="I92" s="58"/>
      <c r="J92" s="58"/>
      <c r="K92" s="58"/>
      <c r="L92" s="57"/>
      <c r="M92" s="57"/>
      <c r="N92" s="57"/>
      <c r="O92" s="57"/>
      <c r="P92" s="58"/>
      <c r="Q92" s="58"/>
      <c r="R92" s="58"/>
      <c r="S92" s="58"/>
      <c r="T92" s="59"/>
      <c r="U92" s="59"/>
      <c r="V92" s="136"/>
      <c r="W92" s="136"/>
    </row>
    <row r="93" spans="1:23" ht="17.45" customHeight="1" x14ac:dyDescent="0.25">
      <c r="A93" s="55" t="s">
        <v>395</v>
      </c>
      <c r="B93" s="60" t="s">
        <v>384</v>
      </c>
      <c r="C93" s="45">
        <v>90</v>
      </c>
      <c r="D93" s="57"/>
      <c r="E93" s="57"/>
      <c r="F93" s="57"/>
      <c r="G93" s="57"/>
      <c r="H93" s="58"/>
      <c r="I93" s="58"/>
      <c r="J93" s="58"/>
      <c r="K93" s="58"/>
      <c r="L93" s="57"/>
      <c r="M93" s="57"/>
      <c r="N93" s="57"/>
      <c r="O93" s="57"/>
      <c r="P93" s="58"/>
      <c r="Q93" s="58"/>
      <c r="R93" s="58"/>
      <c r="S93" s="58"/>
      <c r="T93" s="59"/>
      <c r="U93" s="59"/>
      <c r="V93" s="136"/>
      <c r="W93" s="136"/>
    </row>
    <row r="94" spans="1:23" ht="17.45" customHeight="1" x14ac:dyDescent="0.25">
      <c r="A94" s="55" t="s">
        <v>395</v>
      </c>
      <c r="B94" s="60" t="s">
        <v>383</v>
      </c>
      <c r="C94" s="45">
        <v>91</v>
      </c>
      <c r="D94" s="57"/>
      <c r="E94" s="57"/>
      <c r="F94" s="57"/>
      <c r="G94" s="57"/>
      <c r="H94" s="58"/>
      <c r="I94" s="58"/>
      <c r="J94" s="58"/>
      <c r="K94" s="58"/>
      <c r="L94" s="57"/>
      <c r="M94" s="57"/>
      <c r="N94" s="57"/>
      <c r="O94" s="57"/>
      <c r="P94" s="58"/>
      <c r="Q94" s="58"/>
      <c r="R94" s="58"/>
      <c r="S94" s="58"/>
      <c r="T94" s="59"/>
      <c r="U94" s="59"/>
      <c r="V94" s="136"/>
      <c r="W94" s="136"/>
    </row>
    <row r="95" spans="1:23" ht="17.45" customHeight="1" x14ac:dyDescent="0.25">
      <c r="A95" s="55" t="s">
        <v>395</v>
      </c>
      <c r="B95" s="60" t="s">
        <v>382</v>
      </c>
      <c r="C95" s="45">
        <v>92</v>
      </c>
      <c r="D95" s="57"/>
      <c r="E95" s="57"/>
      <c r="F95" s="57"/>
      <c r="G95" s="57"/>
      <c r="H95" s="58"/>
      <c r="I95" s="58"/>
      <c r="J95" s="58"/>
      <c r="K95" s="58"/>
      <c r="L95" s="57"/>
      <c r="M95" s="57"/>
      <c r="N95" s="57"/>
      <c r="O95" s="57"/>
      <c r="P95" s="58"/>
      <c r="Q95" s="58"/>
      <c r="R95" s="58"/>
      <c r="S95" s="58"/>
      <c r="T95" s="59"/>
      <c r="U95" s="59"/>
      <c r="V95" s="136"/>
      <c r="W95" s="136"/>
    </row>
    <row r="96" spans="1:23" ht="17.45" customHeight="1" x14ac:dyDescent="0.25">
      <c r="A96" s="55" t="s">
        <v>395</v>
      </c>
      <c r="B96" s="56" t="s">
        <v>381</v>
      </c>
      <c r="C96" s="45">
        <v>93</v>
      </c>
      <c r="D96" s="57"/>
      <c r="E96" s="57"/>
      <c r="F96" s="57"/>
      <c r="G96" s="57"/>
      <c r="H96" s="58"/>
      <c r="I96" s="58"/>
      <c r="J96" s="58"/>
      <c r="K96" s="58"/>
      <c r="L96" s="57"/>
      <c r="M96" s="57"/>
      <c r="N96" s="57"/>
      <c r="O96" s="57"/>
      <c r="P96" s="58"/>
      <c r="Q96" s="58"/>
      <c r="R96" s="58"/>
      <c r="S96" s="58"/>
      <c r="T96" s="59"/>
      <c r="U96" s="59"/>
      <c r="V96" s="136"/>
      <c r="W96" s="136"/>
    </row>
    <row r="97" spans="1:23" ht="17.45" customHeight="1" x14ac:dyDescent="0.25">
      <c r="A97" s="55" t="s">
        <v>395</v>
      </c>
      <c r="B97" s="56" t="s">
        <v>380</v>
      </c>
      <c r="C97" s="45">
        <v>94</v>
      </c>
      <c r="D97" s="57"/>
      <c r="E97" s="57"/>
      <c r="F97" s="57"/>
      <c r="G97" s="57"/>
      <c r="H97" s="58"/>
      <c r="I97" s="58"/>
      <c r="J97" s="58"/>
      <c r="K97" s="58"/>
      <c r="L97" s="57"/>
      <c r="M97" s="57"/>
      <c r="N97" s="57"/>
      <c r="O97" s="57"/>
      <c r="P97" s="58"/>
      <c r="Q97" s="58"/>
      <c r="R97" s="58"/>
      <c r="S97" s="58"/>
      <c r="T97" s="59"/>
      <c r="U97" s="59"/>
      <c r="V97" s="136"/>
      <c r="W97" s="136"/>
    </row>
    <row r="98" spans="1:23" ht="17.45" customHeight="1" x14ac:dyDescent="0.25">
      <c r="A98" s="55" t="s">
        <v>395</v>
      </c>
      <c r="B98" s="56" t="s">
        <v>379</v>
      </c>
      <c r="C98" s="45">
        <v>95</v>
      </c>
      <c r="D98" s="57"/>
      <c r="E98" s="57"/>
      <c r="F98" s="57"/>
      <c r="G98" s="57"/>
      <c r="H98" s="58"/>
      <c r="I98" s="58"/>
      <c r="J98" s="58"/>
      <c r="K98" s="58">
        <v>1</v>
      </c>
      <c r="L98" s="57"/>
      <c r="M98" s="57"/>
      <c r="N98" s="57"/>
      <c r="O98" s="57"/>
      <c r="P98" s="58"/>
      <c r="Q98" s="58"/>
      <c r="R98" s="58"/>
      <c r="S98" s="58"/>
      <c r="T98" s="59"/>
      <c r="U98" s="59"/>
      <c r="V98" s="136"/>
      <c r="W98" s="136"/>
    </row>
    <row r="99" spans="1:23" ht="17.45" customHeight="1" x14ac:dyDescent="0.25">
      <c r="A99" s="49" t="s">
        <v>378</v>
      </c>
      <c r="B99" s="50"/>
      <c r="C99" s="45">
        <v>96</v>
      </c>
      <c r="D99" s="51">
        <f t="shared" ref="D99:W99" si="16">D100+D118+D136+D143+D153</f>
        <v>0</v>
      </c>
      <c r="E99" s="51">
        <f t="shared" si="16"/>
        <v>0</v>
      </c>
      <c r="F99" s="51">
        <f t="shared" si="16"/>
        <v>0</v>
      </c>
      <c r="G99" s="51">
        <f t="shared" si="16"/>
        <v>0</v>
      </c>
      <c r="H99" s="53">
        <f t="shared" si="16"/>
        <v>2379</v>
      </c>
      <c r="I99" s="53">
        <f t="shared" si="16"/>
        <v>340</v>
      </c>
      <c r="J99" s="53">
        <f t="shared" si="16"/>
        <v>426</v>
      </c>
      <c r="K99" s="53">
        <f t="shared" si="16"/>
        <v>647</v>
      </c>
      <c r="L99" s="51">
        <f t="shared" si="16"/>
        <v>0</v>
      </c>
      <c r="M99" s="51">
        <f t="shared" si="16"/>
        <v>0</v>
      </c>
      <c r="N99" s="51">
        <f t="shared" si="16"/>
        <v>0</v>
      </c>
      <c r="O99" s="51">
        <f t="shared" si="16"/>
        <v>0</v>
      </c>
      <c r="P99" s="53">
        <f t="shared" si="16"/>
        <v>0</v>
      </c>
      <c r="Q99" s="53">
        <f t="shared" si="16"/>
        <v>0</v>
      </c>
      <c r="R99" s="53">
        <f t="shared" si="16"/>
        <v>0</v>
      </c>
      <c r="S99" s="53">
        <f t="shared" si="16"/>
        <v>0</v>
      </c>
      <c r="T99" s="54">
        <f t="shared" si="16"/>
        <v>125</v>
      </c>
      <c r="U99" s="54">
        <f t="shared" si="16"/>
        <v>96</v>
      </c>
      <c r="V99" s="135">
        <f t="shared" si="16"/>
        <v>265</v>
      </c>
      <c r="W99" s="135">
        <f t="shared" si="16"/>
        <v>53</v>
      </c>
    </row>
    <row r="100" spans="1:23" ht="17.45" customHeight="1" x14ac:dyDescent="0.25">
      <c r="A100" s="49" t="s">
        <v>377</v>
      </c>
      <c r="B100" s="50"/>
      <c r="C100" s="45">
        <v>97</v>
      </c>
      <c r="D100" s="51">
        <f t="shared" ref="D100:W100" si="17">SUM(D101:D117)</f>
        <v>0</v>
      </c>
      <c r="E100" s="51">
        <f t="shared" si="17"/>
        <v>0</v>
      </c>
      <c r="F100" s="51">
        <f t="shared" si="17"/>
        <v>0</v>
      </c>
      <c r="G100" s="51">
        <f t="shared" si="17"/>
        <v>0</v>
      </c>
      <c r="H100" s="53">
        <f t="shared" si="17"/>
        <v>2367</v>
      </c>
      <c r="I100" s="53">
        <f t="shared" si="17"/>
        <v>336</v>
      </c>
      <c r="J100" s="53">
        <f t="shared" si="17"/>
        <v>420</v>
      </c>
      <c r="K100" s="53">
        <f t="shared" si="17"/>
        <v>644</v>
      </c>
      <c r="L100" s="51">
        <f t="shared" si="17"/>
        <v>0</v>
      </c>
      <c r="M100" s="51">
        <f t="shared" si="17"/>
        <v>0</v>
      </c>
      <c r="N100" s="51">
        <f t="shared" si="17"/>
        <v>0</v>
      </c>
      <c r="O100" s="51">
        <f t="shared" si="17"/>
        <v>0</v>
      </c>
      <c r="P100" s="53">
        <f t="shared" si="17"/>
        <v>0</v>
      </c>
      <c r="Q100" s="53">
        <f t="shared" si="17"/>
        <v>0</v>
      </c>
      <c r="R100" s="53">
        <f t="shared" si="17"/>
        <v>0</v>
      </c>
      <c r="S100" s="53">
        <f t="shared" si="17"/>
        <v>0</v>
      </c>
      <c r="T100" s="54">
        <f t="shared" si="17"/>
        <v>125</v>
      </c>
      <c r="U100" s="54">
        <f t="shared" si="17"/>
        <v>96</v>
      </c>
      <c r="V100" s="135">
        <f t="shared" si="17"/>
        <v>265</v>
      </c>
      <c r="W100" s="135">
        <f t="shared" si="17"/>
        <v>53</v>
      </c>
    </row>
    <row r="101" spans="1:23" ht="17.45" customHeight="1" x14ac:dyDescent="0.25">
      <c r="A101" s="55" t="s">
        <v>377</v>
      </c>
      <c r="B101" s="61" t="s">
        <v>376</v>
      </c>
      <c r="C101" s="45">
        <v>98</v>
      </c>
      <c r="D101" s="57"/>
      <c r="E101" s="57"/>
      <c r="F101" s="57"/>
      <c r="G101" s="57"/>
      <c r="H101" s="58">
        <v>816</v>
      </c>
      <c r="I101" s="58">
        <v>69</v>
      </c>
      <c r="J101" s="58">
        <v>95</v>
      </c>
      <c r="K101" s="58">
        <v>299</v>
      </c>
      <c r="L101" s="57"/>
      <c r="M101" s="57"/>
      <c r="N101" s="57"/>
      <c r="O101" s="57"/>
      <c r="P101" s="58"/>
      <c r="Q101" s="58"/>
      <c r="R101" s="58"/>
      <c r="S101" s="58"/>
      <c r="T101" s="59">
        <v>42</v>
      </c>
      <c r="U101" s="59">
        <v>54</v>
      </c>
      <c r="V101" s="136">
        <v>134</v>
      </c>
      <c r="W101" s="136">
        <v>13</v>
      </c>
    </row>
    <row r="102" spans="1:23" ht="17.45" customHeight="1" x14ac:dyDescent="0.25">
      <c r="A102" s="55"/>
      <c r="B102" s="61" t="s">
        <v>918</v>
      </c>
      <c r="C102" s="45">
        <v>99</v>
      </c>
      <c r="D102" s="57"/>
      <c r="E102" s="57"/>
      <c r="F102" s="57"/>
      <c r="G102" s="57"/>
      <c r="H102" s="58">
        <v>1</v>
      </c>
      <c r="I102" s="58">
        <v>1</v>
      </c>
      <c r="J102" s="58">
        <v>1</v>
      </c>
      <c r="K102" s="58"/>
      <c r="L102" s="57"/>
      <c r="M102" s="57"/>
      <c r="N102" s="57"/>
      <c r="O102" s="57"/>
      <c r="P102" s="58"/>
      <c r="Q102" s="58"/>
      <c r="R102" s="58"/>
      <c r="S102" s="58"/>
      <c r="T102" s="59"/>
      <c r="U102" s="59"/>
      <c r="V102" s="136"/>
      <c r="W102" s="136"/>
    </row>
    <row r="103" spans="1:23" ht="17.45" customHeight="1" x14ac:dyDescent="0.25">
      <c r="A103" s="55" t="s">
        <v>377</v>
      </c>
      <c r="B103" s="61" t="s">
        <v>375</v>
      </c>
      <c r="C103" s="45">
        <v>100</v>
      </c>
      <c r="D103" s="57"/>
      <c r="E103" s="57"/>
      <c r="F103" s="57"/>
      <c r="G103" s="57"/>
      <c r="H103" s="58">
        <v>88</v>
      </c>
      <c r="I103" s="58">
        <v>25</v>
      </c>
      <c r="J103" s="58">
        <v>41</v>
      </c>
      <c r="K103" s="58">
        <v>50</v>
      </c>
      <c r="L103" s="57"/>
      <c r="M103" s="57"/>
      <c r="N103" s="57"/>
      <c r="O103" s="57"/>
      <c r="P103" s="58"/>
      <c r="Q103" s="58"/>
      <c r="R103" s="58"/>
      <c r="S103" s="58"/>
      <c r="T103" s="59">
        <v>5</v>
      </c>
      <c r="U103" s="59">
        <v>19</v>
      </c>
      <c r="V103" s="136">
        <v>5</v>
      </c>
      <c r="W103" s="136">
        <v>22</v>
      </c>
    </row>
    <row r="104" spans="1:23" ht="17.45" customHeight="1" x14ac:dyDescent="0.25">
      <c r="A104" s="55" t="s">
        <v>377</v>
      </c>
      <c r="B104" s="61" t="s">
        <v>374</v>
      </c>
      <c r="C104" s="45">
        <v>101</v>
      </c>
      <c r="D104" s="57"/>
      <c r="E104" s="57"/>
      <c r="F104" s="57"/>
      <c r="G104" s="57"/>
      <c r="H104" s="58">
        <v>5</v>
      </c>
      <c r="I104" s="58">
        <v>4</v>
      </c>
      <c r="J104" s="58">
        <v>9</v>
      </c>
      <c r="K104" s="58"/>
      <c r="L104" s="57"/>
      <c r="M104" s="57"/>
      <c r="N104" s="57"/>
      <c r="O104" s="57"/>
      <c r="P104" s="58"/>
      <c r="Q104" s="58"/>
      <c r="R104" s="58"/>
      <c r="S104" s="58"/>
      <c r="T104" s="59"/>
      <c r="U104" s="59">
        <v>5</v>
      </c>
      <c r="V104" s="136">
        <v>1</v>
      </c>
      <c r="W104" s="136">
        <v>1</v>
      </c>
    </row>
    <row r="105" spans="1:23" ht="17.45" customHeight="1" x14ac:dyDescent="0.25">
      <c r="A105" s="55" t="s">
        <v>377</v>
      </c>
      <c r="B105" s="61" t="s">
        <v>373</v>
      </c>
      <c r="C105" s="45">
        <v>102</v>
      </c>
      <c r="D105" s="57"/>
      <c r="E105" s="57"/>
      <c r="F105" s="57"/>
      <c r="G105" s="57"/>
      <c r="H105" s="58">
        <v>28</v>
      </c>
      <c r="I105" s="58">
        <v>8</v>
      </c>
      <c r="J105" s="58">
        <v>13</v>
      </c>
      <c r="K105" s="58">
        <v>8</v>
      </c>
      <c r="L105" s="57"/>
      <c r="M105" s="57"/>
      <c r="N105" s="57"/>
      <c r="O105" s="57"/>
      <c r="P105" s="58"/>
      <c r="Q105" s="58"/>
      <c r="R105" s="58"/>
      <c r="S105" s="58"/>
      <c r="T105" s="59">
        <v>3</v>
      </c>
      <c r="U105" s="59">
        <v>4</v>
      </c>
      <c r="V105" s="136">
        <v>4</v>
      </c>
      <c r="W105" s="136">
        <v>1</v>
      </c>
    </row>
    <row r="106" spans="1:23" ht="17.45" customHeight="1" x14ac:dyDescent="0.25">
      <c r="A106" s="55" t="s">
        <v>377</v>
      </c>
      <c r="B106" s="61" t="s">
        <v>372</v>
      </c>
      <c r="C106" s="45">
        <v>103</v>
      </c>
      <c r="D106" s="57"/>
      <c r="E106" s="57"/>
      <c r="F106" s="57"/>
      <c r="G106" s="57"/>
      <c r="H106" s="58">
        <v>1310</v>
      </c>
      <c r="I106" s="58">
        <v>203</v>
      </c>
      <c r="J106" s="58">
        <v>229</v>
      </c>
      <c r="K106" s="58">
        <v>244</v>
      </c>
      <c r="L106" s="57"/>
      <c r="M106" s="57"/>
      <c r="N106" s="57"/>
      <c r="O106" s="57"/>
      <c r="P106" s="58"/>
      <c r="Q106" s="58"/>
      <c r="R106" s="58"/>
      <c r="S106" s="58"/>
      <c r="T106" s="59">
        <v>65</v>
      </c>
      <c r="U106" s="59">
        <v>9</v>
      </c>
      <c r="V106" s="136">
        <v>109</v>
      </c>
      <c r="W106" s="136">
        <v>16</v>
      </c>
    </row>
    <row r="107" spans="1:23" ht="17.45" customHeight="1" x14ac:dyDescent="0.25">
      <c r="A107" s="55"/>
      <c r="B107" s="61" t="s">
        <v>931</v>
      </c>
      <c r="C107" s="45">
        <v>104</v>
      </c>
      <c r="D107" s="57"/>
      <c r="E107" s="57"/>
      <c r="F107" s="57"/>
      <c r="G107" s="57"/>
      <c r="H107" s="58">
        <v>1</v>
      </c>
      <c r="I107" s="58">
        <v>1</v>
      </c>
      <c r="J107" s="58">
        <v>1</v>
      </c>
      <c r="K107" s="58"/>
      <c r="L107" s="57"/>
      <c r="M107" s="57"/>
      <c r="N107" s="57"/>
      <c r="O107" s="57"/>
      <c r="P107" s="58"/>
      <c r="Q107" s="58"/>
      <c r="R107" s="58"/>
      <c r="S107" s="58"/>
      <c r="T107" s="59"/>
      <c r="U107" s="59"/>
      <c r="V107" s="136"/>
      <c r="W107" s="136"/>
    </row>
    <row r="108" spans="1:23" ht="17.45" customHeight="1" x14ac:dyDescent="0.25">
      <c r="A108" s="55" t="s">
        <v>377</v>
      </c>
      <c r="B108" s="62" t="s">
        <v>371</v>
      </c>
      <c r="C108" s="45">
        <v>105</v>
      </c>
      <c r="D108" s="57"/>
      <c r="E108" s="57"/>
      <c r="F108" s="57"/>
      <c r="G108" s="57"/>
      <c r="H108" s="58">
        <v>54</v>
      </c>
      <c r="I108" s="58">
        <v>12</v>
      </c>
      <c r="J108" s="58">
        <v>17</v>
      </c>
      <c r="K108" s="58">
        <v>19</v>
      </c>
      <c r="L108" s="57"/>
      <c r="M108" s="57"/>
      <c r="N108" s="57"/>
      <c r="O108" s="57"/>
      <c r="P108" s="58"/>
      <c r="Q108" s="58"/>
      <c r="R108" s="58"/>
      <c r="S108" s="58"/>
      <c r="T108" s="59">
        <v>6</v>
      </c>
      <c r="U108" s="59"/>
      <c r="V108" s="136">
        <v>8</v>
      </c>
      <c r="W108" s="136"/>
    </row>
    <row r="109" spans="1:23" ht="17.45" customHeight="1" x14ac:dyDescent="0.25">
      <c r="A109" s="55" t="s">
        <v>377</v>
      </c>
      <c r="B109" s="62" t="s">
        <v>370</v>
      </c>
      <c r="C109" s="45">
        <v>106</v>
      </c>
      <c r="D109" s="57"/>
      <c r="E109" s="57"/>
      <c r="F109" s="57"/>
      <c r="G109" s="57"/>
      <c r="H109" s="58">
        <v>25</v>
      </c>
      <c r="I109" s="58">
        <v>3</v>
      </c>
      <c r="J109" s="58">
        <v>3</v>
      </c>
      <c r="K109" s="58">
        <v>11</v>
      </c>
      <c r="L109" s="57"/>
      <c r="M109" s="57"/>
      <c r="N109" s="57"/>
      <c r="O109" s="57"/>
      <c r="P109" s="58"/>
      <c r="Q109" s="58"/>
      <c r="R109" s="58"/>
      <c r="S109" s="58"/>
      <c r="T109" s="59">
        <v>1</v>
      </c>
      <c r="U109" s="59">
        <v>5</v>
      </c>
      <c r="V109" s="136">
        <v>2</v>
      </c>
      <c r="W109" s="136"/>
    </row>
    <row r="110" spans="1:23" ht="17.45" customHeight="1" x14ac:dyDescent="0.25">
      <c r="A110" s="55" t="s">
        <v>377</v>
      </c>
      <c r="B110" s="62" t="s">
        <v>369</v>
      </c>
      <c r="C110" s="45">
        <v>107</v>
      </c>
      <c r="D110" s="57"/>
      <c r="E110" s="57"/>
      <c r="F110" s="57"/>
      <c r="G110" s="57"/>
      <c r="H110" s="58">
        <v>1</v>
      </c>
      <c r="I110" s="58"/>
      <c r="J110" s="58"/>
      <c r="K110" s="58"/>
      <c r="L110" s="57"/>
      <c r="M110" s="57"/>
      <c r="N110" s="57"/>
      <c r="O110" s="57"/>
      <c r="P110" s="58"/>
      <c r="Q110" s="58"/>
      <c r="R110" s="58"/>
      <c r="S110" s="58"/>
      <c r="T110" s="59"/>
      <c r="U110" s="59"/>
      <c r="V110" s="136"/>
      <c r="W110" s="136"/>
    </row>
    <row r="111" spans="1:23" ht="17.45" customHeight="1" x14ac:dyDescent="0.25">
      <c r="A111" s="53"/>
      <c r="B111" s="62" t="s">
        <v>899</v>
      </c>
      <c r="C111" s="45">
        <v>108</v>
      </c>
      <c r="D111" s="57"/>
      <c r="E111" s="57"/>
      <c r="F111" s="57"/>
      <c r="G111" s="57"/>
      <c r="H111" s="58"/>
      <c r="I111" s="58"/>
      <c r="J111" s="58"/>
      <c r="K111" s="58"/>
      <c r="L111" s="57"/>
      <c r="M111" s="57"/>
      <c r="N111" s="57"/>
      <c r="O111" s="57"/>
      <c r="P111" s="58"/>
      <c r="Q111" s="58"/>
      <c r="R111" s="58"/>
      <c r="S111" s="58"/>
      <c r="T111" s="59"/>
      <c r="U111" s="59"/>
      <c r="V111" s="136"/>
      <c r="W111" s="136"/>
    </row>
    <row r="112" spans="1:23" ht="17.45" customHeight="1" x14ac:dyDescent="0.25">
      <c r="A112" s="53"/>
      <c r="B112" s="62" t="s">
        <v>900</v>
      </c>
      <c r="C112" s="45">
        <v>109</v>
      </c>
      <c r="D112" s="57"/>
      <c r="E112" s="57"/>
      <c r="F112" s="57"/>
      <c r="G112" s="57"/>
      <c r="H112" s="58"/>
      <c r="I112" s="58"/>
      <c r="J112" s="58"/>
      <c r="K112" s="58"/>
      <c r="L112" s="57"/>
      <c r="M112" s="57"/>
      <c r="N112" s="57"/>
      <c r="O112" s="57"/>
      <c r="P112" s="58"/>
      <c r="Q112" s="58"/>
      <c r="R112" s="58"/>
      <c r="S112" s="58"/>
      <c r="T112" s="59"/>
      <c r="U112" s="59"/>
      <c r="V112" s="136"/>
      <c r="W112" s="136"/>
    </row>
    <row r="113" spans="1:23" ht="17.45" customHeight="1" x14ac:dyDescent="0.25">
      <c r="A113" s="55" t="s">
        <v>377</v>
      </c>
      <c r="B113" s="62" t="s">
        <v>368</v>
      </c>
      <c r="C113" s="45">
        <v>110</v>
      </c>
      <c r="D113" s="57"/>
      <c r="E113" s="57"/>
      <c r="F113" s="57"/>
      <c r="G113" s="57"/>
      <c r="H113" s="58"/>
      <c r="I113" s="58"/>
      <c r="J113" s="58"/>
      <c r="K113" s="58"/>
      <c r="L113" s="57"/>
      <c r="M113" s="57"/>
      <c r="N113" s="57"/>
      <c r="O113" s="57"/>
      <c r="P113" s="58"/>
      <c r="Q113" s="58"/>
      <c r="R113" s="58"/>
      <c r="S113" s="58"/>
      <c r="T113" s="59"/>
      <c r="U113" s="59"/>
      <c r="V113" s="136"/>
      <c r="W113" s="136"/>
    </row>
    <row r="114" spans="1:23" ht="17.45" customHeight="1" x14ac:dyDescent="0.25">
      <c r="A114" s="55" t="s">
        <v>377</v>
      </c>
      <c r="B114" s="62" t="s">
        <v>367</v>
      </c>
      <c r="C114" s="45">
        <v>111</v>
      </c>
      <c r="D114" s="57"/>
      <c r="E114" s="57"/>
      <c r="F114" s="57"/>
      <c r="G114" s="57"/>
      <c r="H114" s="58">
        <v>4</v>
      </c>
      <c r="I114" s="58"/>
      <c r="J114" s="58"/>
      <c r="K114" s="58">
        <v>4</v>
      </c>
      <c r="L114" s="57"/>
      <c r="M114" s="57"/>
      <c r="N114" s="57"/>
      <c r="O114" s="57"/>
      <c r="P114" s="58"/>
      <c r="Q114" s="58"/>
      <c r="R114" s="58"/>
      <c r="S114" s="58"/>
      <c r="T114" s="59"/>
      <c r="U114" s="59"/>
      <c r="V114" s="136"/>
      <c r="W114" s="136"/>
    </row>
    <row r="115" spans="1:23" ht="17.45" customHeight="1" x14ac:dyDescent="0.25">
      <c r="A115" s="55" t="s">
        <v>377</v>
      </c>
      <c r="B115" s="62" t="s">
        <v>366</v>
      </c>
      <c r="C115" s="45">
        <v>112</v>
      </c>
      <c r="D115" s="57"/>
      <c r="E115" s="57"/>
      <c r="F115" s="57"/>
      <c r="G115" s="57"/>
      <c r="H115" s="58"/>
      <c r="I115" s="58"/>
      <c r="J115" s="58"/>
      <c r="K115" s="58"/>
      <c r="L115" s="57"/>
      <c r="M115" s="57"/>
      <c r="N115" s="57"/>
      <c r="O115" s="57"/>
      <c r="P115" s="58"/>
      <c r="Q115" s="58"/>
      <c r="R115" s="58"/>
      <c r="S115" s="58"/>
      <c r="T115" s="59"/>
      <c r="U115" s="59"/>
      <c r="V115" s="136"/>
      <c r="W115" s="136"/>
    </row>
    <row r="116" spans="1:23" ht="17.45" customHeight="1" x14ac:dyDescent="0.25">
      <c r="A116" s="55" t="s">
        <v>377</v>
      </c>
      <c r="B116" s="62" t="s">
        <v>365</v>
      </c>
      <c r="C116" s="45">
        <v>113</v>
      </c>
      <c r="D116" s="57"/>
      <c r="E116" s="57"/>
      <c r="F116" s="57"/>
      <c r="G116" s="57"/>
      <c r="H116" s="58">
        <v>34</v>
      </c>
      <c r="I116" s="58">
        <v>10</v>
      </c>
      <c r="J116" s="58">
        <v>11</v>
      </c>
      <c r="K116" s="58">
        <v>9</v>
      </c>
      <c r="L116" s="57"/>
      <c r="M116" s="57"/>
      <c r="N116" s="57"/>
      <c r="O116" s="57"/>
      <c r="P116" s="58"/>
      <c r="Q116" s="58"/>
      <c r="R116" s="58"/>
      <c r="S116" s="58"/>
      <c r="T116" s="59">
        <v>3</v>
      </c>
      <c r="U116" s="59"/>
      <c r="V116" s="136">
        <v>2</v>
      </c>
      <c r="W116" s="136"/>
    </row>
    <row r="117" spans="1:23" ht="17.45" customHeight="1" x14ac:dyDescent="0.25">
      <c r="A117" s="55" t="s">
        <v>377</v>
      </c>
      <c r="B117" s="62" t="s">
        <v>364</v>
      </c>
      <c r="C117" s="45">
        <v>114</v>
      </c>
      <c r="D117" s="57"/>
      <c r="E117" s="57"/>
      <c r="F117" s="57"/>
      <c r="G117" s="57"/>
      <c r="H117" s="58"/>
      <c r="I117" s="58"/>
      <c r="J117" s="58"/>
      <c r="K117" s="58"/>
      <c r="L117" s="57"/>
      <c r="M117" s="57"/>
      <c r="N117" s="57"/>
      <c r="O117" s="57"/>
      <c r="P117" s="58"/>
      <c r="Q117" s="58"/>
      <c r="R117" s="58"/>
      <c r="S117" s="58"/>
      <c r="T117" s="59"/>
      <c r="U117" s="59"/>
      <c r="V117" s="136"/>
      <c r="W117" s="136"/>
    </row>
    <row r="118" spans="1:23" ht="17.45" customHeight="1" x14ac:dyDescent="0.25">
      <c r="A118" s="49" t="s">
        <v>363</v>
      </c>
      <c r="B118" s="50"/>
      <c r="C118" s="45">
        <v>115</v>
      </c>
      <c r="D118" s="51">
        <f>SUM(D119:D135)</f>
        <v>0</v>
      </c>
      <c r="E118" s="51">
        <f t="shared" ref="E118:G118" si="18">SUM(E119:E135)</f>
        <v>0</v>
      </c>
      <c r="F118" s="51">
        <f t="shared" si="18"/>
        <v>0</v>
      </c>
      <c r="G118" s="51">
        <f t="shared" si="18"/>
        <v>0</v>
      </c>
      <c r="H118" s="53">
        <f>SUM(H119:H135)</f>
        <v>5</v>
      </c>
      <c r="I118" s="53">
        <f>SUM(I119:I135)</f>
        <v>1</v>
      </c>
      <c r="J118" s="53">
        <f t="shared" ref="J118:K118" si="19">SUM(J119:J135)</f>
        <v>4</v>
      </c>
      <c r="K118" s="53">
        <f t="shared" si="19"/>
        <v>1</v>
      </c>
      <c r="L118" s="51">
        <f>SUM(L119:L135)</f>
        <v>0</v>
      </c>
      <c r="M118" s="51">
        <f t="shared" ref="M118:O118" si="20">SUM(M119:M135)</f>
        <v>0</v>
      </c>
      <c r="N118" s="51">
        <f t="shared" si="20"/>
        <v>0</v>
      </c>
      <c r="O118" s="51">
        <f t="shared" si="20"/>
        <v>0</v>
      </c>
      <c r="P118" s="53">
        <f>SUM(P119:P135)</f>
        <v>0</v>
      </c>
      <c r="Q118" s="53">
        <f t="shared" ref="Q118:S118" si="21">SUM(Q119:Q135)</f>
        <v>0</v>
      </c>
      <c r="R118" s="53">
        <f t="shared" si="21"/>
        <v>0</v>
      </c>
      <c r="S118" s="53">
        <f t="shared" si="21"/>
        <v>0</v>
      </c>
      <c r="T118" s="54">
        <f>SUM(T119:T135)</f>
        <v>0</v>
      </c>
      <c r="U118" s="54">
        <f>SUM(U119:U135)</f>
        <v>0</v>
      </c>
      <c r="V118" s="135">
        <f>SUM(V119:V135)</f>
        <v>0</v>
      </c>
      <c r="W118" s="135">
        <f>SUM(W119:W135)</f>
        <v>0</v>
      </c>
    </row>
    <row r="119" spans="1:23" ht="17.45" customHeight="1" x14ac:dyDescent="0.25">
      <c r="A119" s="55" t="s">
        <v>363</v>
      </c>
      <c r="B119" s="62" t="s">
        <v>362</v>
      </c>
      <c r="C119" s="45">
        <v>116</v>
      </c>
      <c r="D119" s="57"/>
      <c r="E119" s="57"/>
      <c r="F119" s="57"/>
      <c r="G119" s="57"/>
      <c r="H119" s="58">
        <v>1</v>
      </c>
      <c r="I119" s="58"/>
      <c r="J119" s="58"/>
      <c r="K119" s="58"/>
      <c r="L119" s="57"/>
      <c r="M119" s="57"/>
      <c r="N119" s="57"/>
      <c r="O119" s="57"/>
      <c r="P119" s="58"/>
      <c r="Q119" s="58"/>
      <c r="R119" s="58"/>
      <c r="S119" s="58"/>
      <c r="T119" s="59"/>
      <c r="U119" s="59"/>
      <c r="V119" s="136"/>
      <c r="W119" s="136"/>
    </row>
    <row r="120" spans="1:23" ht="17.45" customHeight="1" x14ac:dyDescent="0.25">
      <c r="A120" s="55" t="s">
        <v>363</v>
      </c>
      <c r="B120" s="62" t="s">
        <v>361</v>
      </c>
      <c r="C120" s="45">
        <v>117</v>
      </c>
      <c r="D120" s="57"/>
      <c r="E120" s="57"/>
      <c r="F120" s="57"/>
      <c r="G120" s="57"/>
      <c r="H120" s="58"/>
      <c r="I120" s="58"/>
      <c r="J120" s="58"/>
      <c r="K120" s="58"/>
      <c r="L120" s="57"/>
      <c r="M120" s="57"/>
      <c r="N120" s="57"/>
      <c r="O120" s="57"/>
      <c r="P120" s="58"/>
      <c r="Q120" s="58"/>
      <c r="R120" s="58"/>
      <c r="S120" s="58"/>
      <c r="T120" s="59"/>
      <c r="U120" s="59"/>
      <c r="V120" s="136"/>
      <c r="W120" s="136"/>
    </row>
    <row r="121" spans="1:23" ht="17.45" customHeight="1" x14ac:dyDescent="0.25">
      <c r="A121" s="53"/>
      <c r="B121" s="62" t="s">
        <v>901</v>
      </c>
      <c r="C121" s="45">
        <v>118</v>
      </c>
      <c r="D121" s="57"/>
      <c r="E121" s="57"/>
      <c r="F121" s="57"/>
      <c r="G121" s="57"/>
      <c r="H121" s="58">
        <v>2</v>
      </c>
      <c r="I121" s="58">
        <v>1</v>
      </c>
      <c r="J121" s="58">
        <v>4</v>
      </c>
      <c r="K121" s="58">
        <v>1</v>
      </c>
      <c r="L121" s="57"/>
      <c r="M121" s="57"/>
      <c r="N121" s="57"/>
      <c r="O121" s="57"/>
      <c r="P121" s="58"/>
      <c r="Q121" s="58"/>
      <c r="R121" s="58"/>
      <c r="S121" s="58"/>
      <c r="T121" s="59"/>
      <c r="U121" s="149"/>
      <c r="V121" s="136"/>
      <c r="W121" s="136"/>
    </row>
    <row r="122" spans="1:23" ht="17.45" customHeight="1" x14ac:dyDescent="0.25">
      <c r="A122" s="55" t="s">
        <v>363</v>
      </c>
      <c r="B122" s="62" t="s">
        <v>360</v>
      </c>
      <c r="C122" s="45">
        <v>119</v>
      </c>
      <c r="D122" s="57"/>
      <c r="E122" s="57"/>
      <c r="F122" s="57"/>
      <c r="G122" s="57"/>
      <c r="H122" s="58"/>
      <c r="I122" s="58"/>
      <c r="J122" s="58"/>
      <c r="K122" s="58"/>
      <c r="L122" s="57"/>
      <c r="M122" s="57"/>
      <c r="N122" s="57"/>
      <c r="O122" s="57"/>
      <c r="P122" s="58"/>
      <c r="Q122" s="58"/>
      <c r="R122" s="58"/>
      <c r="S122" s="58"/>
      <c r="T122" s="59"/>
      <c r="U122" s="59"/>
      <c r="V122" s="136"/>
      <c r="W122" s="136"/>
    </row>
    <row r="123" spans="1:23" ht="17.45" customHeight="1" x14ac:dyDescent="0.25">
      <c r="A123" s="55" t="s">
        <v>363</v>
      </c>
      <c r="B123" s="62" t="s">
        <v>359</v>
      </c>
      <c r="C123" s="45">
        <v>120</v>
      </c>
      <c r="D123" s="57"/>
      <c r="E123" s="57"/>
      <c r="F123" s="57"/>
      <c r="G123" s="57"/>
      <c r="H123" s="58"/>
      <c r="I123" s="58"/>
      <c r="J123" s="58"/>
      <c r="K123" s="58"/>
      <c r="L123" s="57"/>
      <c r="M123" s="57"/>
      <c r="N123" s="57"/>
      <c r="O123" s="57"/>
      <c r="P123" s="58"/>
      <c r="Q123" s="58"/>
      <c r="R123" s="58"/>
      <c r="S123" s="58"/>
      <c r="T123" s="59"/>
      <c r="U123" s="59"/>
      <c r="V123" s="136"/>
      <c r="W123" s="136"/>
    </row>
    <row r="124" spans="1:23" ht="17.45" customHeight="1" x14ac:dyDescent="0.25">
      <c r="A124" s="55" t="s">
        <v>363</v>
      </c>
      <c r="B124" s="62" t="s">
        <v>358</v>
      </c>
      <c r="C124" s="45">
        <v>121</v>
      </c>
      <c r="D124" s="57"/>
      <c r="E124" s="57"/>
      <c r="F124" s="57"/>
      <c r="G124" s="57"/>
      <c r="H124" s="58">
        <v>2</v>
      </c>
      <c r="I124" s="58"/>
      <c r="J124" s="58"/>
      <c r="K124" s="58"/>
      <c r="L124" s="57"/>
      <c r="M124" s="57"/>
      <c r="N124" s="57"/>
      <c r="O124" s="57"/>
      <c r="P124" s="58"/>
      <c r="Q124" s="58"/>
      <c r="R124" s="58"/>
      <c r="S124" s="58"/>
      <c r="T124" s="59"/>
      <c r="U124" s="59"/>
      <c r="V124" s="136"/>
      <c r="W124" s="136"/>
    </row>
    <row r="125" spans="1:23" ht="17.45" customHeight="1" x14ac:dyDescent="0.25">
      <c r="A125" s="55" t="s">
        <v>363</v>
      </c>
      <c r="B125" s="62" t="s">
        <v>357</v>
      </c>
      <c r="C125" s="45">
        <v>122</v>
      </c>
      <c r="D125" s="57"/>
      <c r="E125" s="57"/>
      <c r="F125" s="57"/>
      <c r="G125" s="57"/>
      <c r="H125" s="58"/>
      <c r="I125" s="58"/>
      <c r="J125" s="58"/>
      <c r="K125" s="58"/>
      <c r="L125" s="57"/>
      <c r="M125" s="57"/>
      <c r="N125" s="57"/>
      <c r="O125" s="57"/>
      <c r="P125" s="58"/>
      <c r="Q125" s="58"/>
      <c r="R125" s="58"/>
      <c r="S125" s="58"/>
      <c r="T125" s="59"/>
      <c r="U125" s="59"/>
      <c r="V125" s="136"/>
      <c r="W125" s="136"/>
    </row>
    <row r="126" spans="1:23" ht="17.45" customHeight="1" x14ac:dyDescent="0.25">
      <c r="A126" s="55" t="s">
        <v>363</v>
      </c>
      <c r="B126" s="62" t="s">
        <v>356</v>
      </c>
      <c r="C126" s="45">
        <v>123</v>
      </c>
      <c r="D126" s="57"/>
      <c r="E126" s="57"/>
      <c r="F126" s="57"/>
      <c r="G126" s="57"/>
      <c r="H126" s="58"/>
      <c r="I126" s="58"/>
      <c r="J126" s="58"/>
      <c r="K126" s="58"/>
      <c r="L126" s="57"/>
      <c r="M126" s="57"/>
      <c r="N126" s="57"/>
      <c r="O126" s="57"/>
      <c r="P126" s="58"/>
      <c r="Q126" s="58"/>
      <c r="R126" s="58"/>
      <c r="S126" s="58"/>
      <c r="T126" s="59"/>
      <c r="U126" s="59"/>
      <c r="V126" s="136"/>
      <c r="W126" s="136"/>
    </row>
    <row r="127" spans="1:23" ht="17.45" customHeight="1" x14ac:dyDescent="0.25">
      <c r="A127" s="55" t="s">
        <v>363</v>
      </c>
      <c r="B127" s="62" t="s">
        <v>355</v>
      </c>
      <c r="C127" s="45">
        <v>124</v>
      </c>
      <c r="D127" s="57"/>
      <c r="E127" s="57"/>
      <c r="F127" s="57"/>
      <c r="G127" s="57"/>
      <c r="H127" s="58"/>
      <c r="I127" s="58"/>
      <c r="J127" s="58"/>
      <c r="K127" s="58"/>
      <c r="L127" s="57"/>
      <c r="M127" s="57"/>
      <c r="N127" s="57"/>
      <c r="O127" s="57"/>
      <c r="P127" s="58"/>
      <c r="Q127" s="58"/>
      <c r="R127" s="58"/>
      <c r="S127" s="58"/>
      <c r="T127" s="59"/>
      <c r="U127" s="59"/>
      <c r="V127" s="136"/>
      <c r="W127" s="136"/>
    </row>
    <row r="128" spans="1:23" ht="17.45" customHeight="1" x14ac:dyDescent="0.25">
      <c r="A128" s="55" t="s">
        <v>363</v>
      </c>
      <c r="B128" s="62" t="s">
        <v>354</v>
      </c>
      <c r="C128" s="45">
        <v>125</v>
      </c>
      <c r="D128" s="57"/>
      <c r="E128" s="57"/>
      <c r="F128" s="57"/>
      <c r="G128" s="57"/>
      <c r="H128" s="58"/>
      <c r="I128" s="58"/>
      <c r="J128" s="58"/>
      <c r="K128" s="58"/>
      <c r="L128" s="57"/>
      <c r="M128" s="57"/>
      <c r="N128" s="57"/>
      <c r="O128" s="57"/>
      <c r="P128" s="58"/>
      <c r="Q128" s="58"/>
      <c r="R128" s="58"/>
      <c r="S128" s="58"/>
      <c r="T128" s="59"/>
      <c r="U128" s="59"/>
      <c r="V128" s="136"/>
      <c r="W128" s="136"/>
    </row>
    <row r="129" spans="1:23" ht="17.45" customHeight="1" x14ac:dyDescent="0.25">
      <c r="A129" s="55" t="s">
        <v>363</v>
      </c>
      <c r="B129" s="62" t="s">
        <v>353</v>
      </c>
      <c r="C129" s="45">
        <v>126</v>
      </c>
      <c r="D129" s="57"/>
      <c r="E129" s="57"/>
      <c r="F129" s="57"/>
      <c r="G129" s="57"/>
      <c r="H129" s="58"/>
      <c r="I129" s="58"/>
      <c r="J129" s="58"/>
      <c r="K129" s="58"/>
      <c r="L129" s="57"/>
      <c r="M129" s="57"/>
      <c r="N129" s="57"/>
      <c r="O129" s="57"/>
      <c r="P129" s="58"/>
      <c r="Q129" s="58"/>
      <c r="R129" s="58"/>
      <c r="S129" s="58"/>
      <c r="T129" s="59"/>
      <c r="U129" s="59"/>
      <c r="V129" s="136"/>
      <c r="W129" s="136"/>
    </row>
    <row r="130" spans="1:23" ht="17.45" customHeight="1" x14ac:dyDescent="0.25">
      <c r="A130" s="55" t="s">
        <v>363</v>
      </c>
      <c r="B130" s="62" t="s">
        <v>352</v>
      </c>
      <c r="C130" s="45">
        <v>127</v>
      </c>
      <c r="D130" s="57"/>
      <c r="E130" s="57"/>
      <c r="F130" s="57"/>
      <c r="G130" s="57"/>
      <c r="H130" s="58"/>
      <c r="I130" s="58"/>
      <c r="J130" s="58"/>
      <c r="K130" s="58"/>
      <c r="L130" s="57"/>
      <c r="M130" s="57"/>
      <c r="N130" s="57"/>
      <c r="O130" s="57"/>
      <c r="P130" s="58"/>
      <c r="Q130" s="58"/>
      <c r="R130" s="58"/>
      <c r="S130" s="58"/>
      <c r="T130" s="59"/>
      <c r="U130" s="59"/>
      <c r="V130" s="136"/>
      <c r="W130" s="136"/>
    </row>
    <row r="131" spans="1:23" ht="17.45" customHeight="1" x14ac:dyDescent="0.25">
      <c r="A131" s="53"/>
      <c r="B131" s="62" t="s">
        <v>902</v>
      </c>
      <c r="C131" s="45">
        <v>128</v>
      </c>
      <c r="D131" s="57"/>
      <c r="E131" s="57"/>
      <c r="F131" s="57"/>
      <c r="G131" s="57"/>
      <c r="H131" s="58"/>
      <c r="I131" s="58"/>
      <c r="J131" s="58"/>
      <c r="K131" s="58"/>
      <c r="L131" s="57"/>
      <c r="M131" s="57"/>
      <c r="N131" s="57"/>
      <c r="O131" s="57"/>
      <c r="P131" s="58"/>
      <c r="Q131" s="58"/>
      <c r="R131" s="58"/>
      <c r="S131" s="58"/>
      <c r="T131" s="59"/>
      <c r="U131" s="149"/>
      <c r="V131" s="136"/>
      <c r="W131" s="136"/>
    </row>
    <row r="132" spans="1:23" ht="17.45" customHeight="1" x14ac:dyDescent="0.25">
      <c r="A132" s="55" t="s">
        <v>363</v>
      </c>
      <c r="B132" s="62" t="s">
        <v>351</v>
      </c>
      <c r="C132" s="45">
        <v>129</v>
      </c>
      <c r="D132" s="57"/>
      <c r="E132" s="57"/>
      <c r="F132" s="57"/>
      <c r="G132" s="57"/>
      <c r="H132" s="58"/>
      <c r="I132" s="58"/>
      <c r="J132" s="58"/>
      <c r="K132" s="58"/>
      <c r="L132" s="57"/>
      <c r="M132" s="57"/>
      <c r="N132" s="57"/>
      <c r="O132" s="57"/>
      <c r="P132" s="58"/>
      <c r="Q132" s="58"/>
      <c r="R132" s="58"/>
      <c r="S132" s="58"/>
      <c r="T132" s="59"/>
      <c r="U132" s="59"/>
      <c r="V132" s="136"/>
      <c r="W132" s="136"/>
    </row>
    <row r="133" spans="1:23" ht="17.45" customHeight="1" x14ac:dyDescent="0.25">
      <c r="A133" s="55" t="s">
        <v>363</v>
      </c>
      <c r="B133" s="62" t="s">
        <v>350</v>
      </c>
      <c r="C133" s="45">
        <v>130</v>
      </c>
      <c r="D133" s="57"/>
      <c r="E133" s="57"/>
      <c r="F133" s="57"/>
      <c r="G133" s="57"/>
      <c r="H133" s="58"/>
      <c r="I133" s="58"/>
      <c r="J133" s="58"/>
      <c r="K133" s="58"/>
      <c r="L133" s="57"/>
      <c r="M133" s="57"/>
      <c r="N133" s="57"/>
      <c r="O133" s="57"/>
      <c r="P133" s="58"/>
      <c r="Q133" s="58"/>
      <c r="R133" s="58"/>
      <c r="S133" s="58"/>
      <c r="T133" s="59"/>
      <c r="U133" s="59"/>
      <c r="V133" s="136"/>
      <c r="W133" s="136"/>
    </row>
    <row r="134" spans="1:23" ht="17.45" customHeight="1" x14ac:dyDescent="0.25">
      <c r="A134" s="55" t="s">
        <v>363</v>
      </c>
      <c r="B134" s="62" t="s">
        <v>349</v>
      </c>
      <c r="C134" s="45">
        <v>131</v>
      </c>
      <c r="D134" s="57"/>
      <c r="E134" s="57"/>
      <c r="F134" s="57"/>
      <c r="G134" s="57"/>
      <c r="H134" s="58"/>
      <c r="I134" s="58"/>
      <c r="J134" s="58"/>
      <c r="K134" s="58"/>
      <c r="L134" s="57"/>
      <c r="M134" s="57"/>
      <c r="N134" s="57"/>
      <c r="O134" s="57"/>
      <c r="P134" s="58"/>
      <c r="Q134" s="58"/>
      <c r="R134" s="58"/>
      <c r="S134" s="58"/>
      <c r="T134" s="59"/>
      <c r="U134" s="59"/>
      <c r="V134" s="136"/>
      <c r="W134" s="136"/>
    </row>
    <row r="135" spans="1:23" ht="17.45" customHeight="1" x14ac:dyDescent="0.25">
      <c r="A135" s="55"/>
      <c r="B135" s="62" t="s">
        <v>932</v>
      </c>
      <c r="C135" s="45">
        <v>132</v>
      </c>
      <c r="D135" s="57"/>
      <c r="E135" s="57"/>
      <c r="F135" s="57"/>
      <c r="G135" s="57"/>
      <c r="H135" s="58"/>
      <c r="I135" s="58"/>
      <c r="J135" s="58"/>
      <c r="K135" s="58"/>
      <c r="L135" s="57"/>
      <c r="M135" s="57"/>
      <c r="N135" s="57"/>
      <c r="O135" s="57"/>
      <c r="P135" s="58"/>
      <c r="Q135" s="58"/>
      <c r="R135" s="58"/>
      <c r="S135" s="58"/>
      <c r="T135" s="59"/>
      <c r="U135" s="59"/>
      <c r="V135" s="136"/>
      <c r="W135" s="136"/>
    </row>
    <row r="136" spans="1:23" ht="17.45" customHeight="1" x14ac:dyDescent="0.25">
      <c r="A136" s="49" t="s">
        <v>348</v>
      </c>
      <c r="B136" s="50"/>
      <c r="C136" s="45">
        <v>133</v>
      </c>
      <c r="D136" s="51">
        <f>SUM(D137:D142)</f>
        <v>0</v>
      </c>
      <c r="E136" s="51">
        <f t="shared" ref="E136:U136" si="22">SUM(E137:E142)</f>
        <v>0</v>
      </c>
      <c r="F136" s="51">
        <f t="shared" si="22"/>
        <v>0</v>
      </c>
      <c r="G136" s="51">
        <f t="shared" si="22"/>
        <v>0</v>
      </c>
      <c r="H136" s="53">
        <f t="shared" si="22"/>
        <v>2</v>
      </c>
      <c r="I136" s="53">
        <f t="shared" si="22"/>
        <v>1</v>
      </c>
      <c r="J136" s="53">
        <f t="shared" si="22"/>
        <v>1</v>
      </c>
      <c r="K136" s="53">
        <f t="shared" si="22"/>
        <v>0</v>
      </c>
      <c r="L136" s="51">
        <f t="shared" si="22"/>
        <v>0</v>
      </c>
      <c r="M136" s="51">
        <f t="shared" si="22"/>
        <v>0</v>
      </c>
      <c r="N136" s="51">
        <f t="shared" si="22"/>
        <v>0</v>
      </c>
      <c r="O136" s="51">
        <f t="shared" si="22"/>
        <v>0</v>
      </c>
      <c r="P136" s="53">
        <f t="shared" si="22"/>
        <v>0</v>
      </c>
      <c r="Q136" s="53">
        <f t="shared" si="22"/>
        <v>0</v>
      </c>
      <c r="R136" s="53">
        <f t="shared" si="22"/>
        <v>0</v>
      </c>
      <c r="S136" s="53">
        <f t="shared" si="22"/>
        <v>0</v>
      </c>
      <c r="T136" s="54">
        <f t="shared" si="22"/>
        <v>0</v>
      </c>
      <c r="U136" s="54">
        <f t="shared" si="22"/>
        <v>0</v>
      </c>
      <c r="V136" s="135">
        <f t="shared" ref="V136:W136" si="23">SUM(V137:V142)</f>
        <v>0</v>
      </c>
      <c r="W136" s="135">
        <f t="shared" si="23"/>
        <v>0</v>
      </c>
    </row>
    <row r="137" spans="1:23" ht="17.45" customHeight="1" x14ac:dyDescent="0.25">
      <c r="A137" s="55" t="s">
        <v>348</v>
      </c>
      <c r="B137" s="62" t="s">
        <v>347</v>
      </c>
      <c r="C137" s="45">
        <v>134</v>
      </c>
      <c r="D137" s="57"/>
      <c r="E137" s="57"/>
      <c r="F137" s="57"/>
      <c r="G137" s="57"/>
      <c r="H137" s="58"/>
      <c r="I137" s="58"/>
      <c r="J137" s="58"/>
      <c r="K137" s="58"/>
      <c r="L137" s="57"/>
      <c r="M137" s="57"/>
      <c r="N137" s="57"/>
      <c r="O137" s="57"/>
      <c r="P137" s="58"/>
      <c r="Q137" s="58"/>
      <c r="R137" s="58"/>
      <c r="S137" s="58"/>
      <c r="T137" s="59"/>
      <c r="U137" s="59"/>
      <c r="V137" s="136"/>
      <c r="W137" s="136"/>
    </row>
    <row r="138" spans="1:23" ht="17.45" customHeight="1" x14ac:dyDescent="0.25">
      <c r="A138" s="55" t="s">
        <v>348</v>
      </c>
      <c r="B138" s="62" t="s">
        <v>346</v>
      </c>
      <c r="C138" s="45">
        <v>135</v>
      </c>
      <c r="D138" s="57"/>
      <c r="E138" s="57"/>
      <c r="F138" s="57"/>
      <c r="G138" s="57"/>
      <c r="H138" s="58">
        <v>2</v>
      </c>
      <c r="I138" s="58">
        <v>1</v>
      </c>
      <c r="J138" s="58">
        <v>1</v>
      </c>
      <c r="K138" s="58"/>
      <c r="L138" s="57"/>
      <c r="M138" s="57"/>
      <c r="N138" s="57"/>
      <c r="O138" s="57"/>
      <c r="P138" s="58"/>
      <c r="Q138" s="58"/>
      <c r="R138" s="58"/>
      <c r="S138" s="58"/>
      <c r="T138" s="59"/>
      <c r="U138" s="59"/>
      <c r="V138" s="136"/>
      <c r="W138" s="136"/>
    </row>
    <row r="139" spans="1:23" ht="17.45" customHeight="1" x14ac:dyDescent="0.25">
      <c r="A139" s="55" t="s">
        <v>348</v>
      </c>
      <c r="B139" s="62" t="s">
        <v>345</v>
      </c>
      <c r="C139" s="45">
        <v>136</v>
      </c>
      <c r="D139" s="57"/>
      <c r="E139" s="57"/>
      <c r="F139" s="57"/>
      <c r="G139" s="57"/>
      <c r="H139" s="58"/>
      <c r="I139" s="58"/>
      <c r="J139" s="58"/>
      <c r="K139" s="58"/>
      <c r="L139" s="57"/>
      <c r="M139" s="57"/>
      <c r="N139" s="57"/>
      <c r="O139" s="57"/>
      <c r="P139" s="58"/>
      <c r="Q139" s="58"/>
      <c r="R139" s="58"/>
      <c r="S139" s="58"/>
      <c r="T139" s="59"/>
      <c r="U139" s="59"/>
      <c r="V139" s="136"/>
      <c r="W139" s="136"/>
    </row>
    <row r="140" spans="1:23" ht="17.45" customHeight="1" x14ac:dyDescent="0.25">
      <c r="A140" s="55" t="s">
        <v>348</v>
      </c>
      <c r="B140" s="62" t="s">
        <v>344</v>
      </c>
      <c r="C140" s="45">
        <v>137</v>
      </c>
      <c r="D140" s="57"/>
      <c r="E140" s="57"/>
      <c r="F140" s="57"/>
      <c r="G140" s="57"/>
      <c r="H140" s="58"/>
      <c r="I140" s="58"/>
      <c r="J140" s="58"/>
      <c r="K140" s="58"/>
      <c r="L140" s="57"/>
      <c r="M140" s="57"/>
      <c r="N140" s="57"/>
      <c r="O140" s="57"/>
      <c r="P140" s="58"/>
      <c r="Q140" s="58"/>
      <c r="R140" s="58"/>
      <c r="S140" s="58"/>
      <c r="T140" s="59"/>
      <c r="U140" s="59"/>
      <c r="V140" s="136"/>
      <c r="W140" s="136"/>
    </row>
    <row r="141" spans="1:23" ht="17.45" customHeight="1" x14ac:dyDescent="0.25">
      <c r="A141" s="55" t="s">
        <v>348</v>
      </c>
      <c r="B141" s="62" t="s">
        <v>343</v>
      </c>
      <c r="C141" s="45">
        <v>138</v>
      </c>
      <c r="D141" s="57"/>
      <c r="E141" s="57"/>
      <c r="F141" s="57"/>
      <c r="G141" s="57"/>
      <c r="H141" s="58"/>
      <c r="I141" s="58"/>
      <c r="J141" s="58"/>
      <c r="K141" s="58"/>
      <c r="L141" s="57"/>
      <c r="M141" s="57"/>
      <c r="N141" s="57"/>
      <c r="O141" s="57"/>
      <c r="P141" s="58"/>
      <c r="Q141" s="58"/>
      <c r="R141" s="58"/>
      <c r="S141" s="58"/>
      <c r="T141" s="59"/>
      <c r="U141" s="59"/>
      <c r="V141" s="136"/>
      <c r="W141" s="136"/>
    </row>
    <row r="142" spans="1:23" ht="17.45" customHeight="1" x14ac:dyDescent="0.25">
      <c r="A142" s="55" t="s">
        <v>348</v>
      </c>
      <c r="B142" s="62" t="s">
        <v>342</v>
      </c>
      <c r="C142" s="45">
        <v>139</v>
      </c>
      <c r="D142" s="57"/>
      <c r="E142" s="57"/>
      <c r="F142" s="57"/>
      <c r="G142" s="57"/>
      <c r="H142" s="58"/>
      <c r="I142" s="58"/>
      <c r="J142" s="58"/>
      <c r="K142" s="58"/>
      <c r="L142" s="57"/>
      <c r="M142" s="57"/>
      <c r="N142" s="57"/>
      <c r="O142" s="57"/>
      <c r="P142" s="58"/>
      <c r="Q142" s="58"/>
      <c r="R142" s="58"/>
      <c r="S142" s="58"/>
      <c r="T142" s="59"/>
      <c r="U142" s="59"/>
      <c r="V142" s="136"/>
      <c r="W142" s="136"/>
    </row>
    <row r="143" spans="1:23" ht="17.45" customHeight="1" x14ac:dyDescent="0.25">
      <c r="A143" s="49" t="s">
        <v>341</v>
      </c>
      <c r="B143" s="50"/>
      <c r="C143" s="45">
        <v>140</v>
      </c>
      <c r="D143" s="51">
        <f t="shared" ref="D143:W143" si="24">SUM(D144:D152)</f>
        <v>0</v>
      </c>
      <c r="E143" s="51">
        <f t="shared" si="24"/>
        <v>0</v>
      </c>
      <c r="F143" s="51">
        <f t="shared" si="24"/>
        <v>0</v>
      </c>
      <c r="G143" s="51">
        <f t="shared" si="24"/>
        <v>0</v>
      </c>
      <c r="H143" s="53">
        <f t="shared" si="24"/>
        <v>5</v>
      </c>
      <c r="I143" s="53">
        <f t="shared" si="24"/>
        <v>2</v>
      </c>
      <c r="J143" s="53">
        <f t="shared" si="24"/>
        <v>1</v>
      </c>
      <c r="K143" s="53">
        <f t="shared" si="24"/>
        <v>1</v>
      </c>
      <c r="L143" s="51">
        <f t="shared" si="24"/>
        <v>0</v>
      </c>
      <c r="M143" s="51">
        <f t="shared" si="24"/>
        <v>0</v>
      </c>
      <c r="N143" s="51">
        <f t="shared" si="24"/>
        <v>0</v>
      </c>
      <c r="O143" s="51">
        <f t="shared" si="24"/>
        <v>0</v>
      </c>
      <c r="P143" s="53">
        <f t="shared" si="24"/>
        <v>0</v>
      </c>
      <c r="Q143" s="53">
        <f t="shared" si="24"/>
        <v>0</v>
      </c>
      <c r="R143" s="53">
        <f t="shared" si="24"/>
        <v>0</v>
      </c>
      <c r="S143" s="53">
        <f t="shared" si="24"/>
        <v>0</v>
      </c>
      <c r="T143" s="54">
        <f t="shared" si="24"/>
        <v>0</v>
      </c>
      <c r="U143" s="54">
        <f t="shared" si="24"/>
        <v>0</v>
      </c>
      <c r="V143" s="135">
        <f t="shared" si="24"/>
        <v>0</v>
      </c>
      <c r="W143" s="135">
        <f t="shared" si="24"/>
        <v>0</v>
      </c>
    </row>
    <row r="144" spans="1:23" ht="17.45" customHeight="1" x14ac:dyDescent="0.25">
      <c r="A144" s="55" t="s">
        <v>341</v>
      </c>
      <c r="B144" s="62" t="s">
        <v>340</v>
      </c>
      <c r="C144" s="45">
        <v>141</v>
      </c>
      <c r="D144" s="57"/>
      <c r="E144" s="57"/>
      <c r="F144" s="57"/>
      <c r="G144" s="57"/>
      <c r="H144" s="58"/>
      <c r="I144" s="58"/>
      <c r="J144" s="58"/>
      <c r="K144" s="58"/>
      <c r="L144" s="57"/>
      <c r="M144" s="57"/>
      <c r="N144" s="57"/>
      <c r="O144" s="57"/>
      <c r="P144" s="58"/>
      <c r="Q144" s="58"/>
      <c r="R144" s="58"/>
      <c r="S144" s="58"/>
      <c r="T144" s="59"/>
      <c r="U144" s="59"/>
      <c r="V144" s="136"/>
      <c r="W144" s="136"/>
    </row>
    <row r="145" spans="1:23" ht="17.45" customHeight="1" x14ac:dyDescent="0.25">
      <c r="A145" s="55" t="s">
        <v>341</v>
      </c>
      <c r="B145" s="62" t="s">
        <v>339</v>
      </c>
      <c r="C145" s="45">
        <v>142</v>
      </c>
      <c r="D145" s="57"/>
      <c r="E145" s="57"/>
      <c r="F145" s="57"/>
      <c r="G145" s="57"/>
      <c r="H145" s="58">
        <v>4</v>
      </c>
      <c r="I145" s="58">
        <v>2</v>
      </c>
      <c r="J145" s="58">
        <v>1</v>
      </c>
      <c r="K145" s="58"/>
      <c r="L145" s="57"/>
      <c r="M145" s="57"/>
      <c r="N145" s="57"/>
      <c r="O145" s="57"/>
      <c r="P145" s="58"/>
      <c r="Q145" s="58"/>
      <c r="R145" s="58"/>
      <c r="S145" s="58"/>
      <c r="T145" s="59"/>
      <c r="U145" s="59"/>
      <c r="V145" s="136"/>
      <c r="W145" s="136"/>
    </row>
    <row r="146" spans="1:23" ht="17.45" customHeight="1" x14ac:dyDescent="0.25">
      <c r="A146" s="55" t="s">
        <v>341</v>
      </c>
      <c r="B146" s="62" t="s">
        <v>338</v>
      </c>
      <c r="C146" s="45">
        <v>143</v>
      </c>
      <c r="D146" s="57"/>
      <c r="E146" s="57"/>
      <c r="F146" s="57"/>
      <c r="G146" s="57"/>
      <c r="H146" s="58">
        <v>1</v>
      </c>
      <c r="I146" s="58"/>
      <c r="J146" s="58"/>
      <c r="K146" s="58">
        <v>1</v>
      </c>
      <c r="L146" s="57"/>
      <c r="M146" s="57"/>
      <c r="N146" s="57"/>
      <c r="O146" s="57"/>
      <c r="P146" s="58"/>
      <c r="Q146" s="58"/>
      <c r="R146" s="58"/>
      <c r="S146" s="58"/>
      <c r="T146" s="59"/>
      <c r="U146" s="59"/>
      <c r="V146" s="136"/>
      <c r="W146" s="136"/>
    </row>
    <row r="147" spans="1:23" ht="17.45" customHeight="1" x14ac:dyDescent="0.25">
      <c r="A147" s="53"/>
      <c r="B147" s="62" t="s">
        <v>903</v>
      </c>
      <c r="C147" s="45">
        <v>144</v>
      </c>
      <c r="D147" s="57"/>
      <c r="E147" s="57"/>
      <c r="F147" s="57"/>
      <c r="G147" s="57"/>
      <c r="H147" s="58"/>
      <c r="I147" s="58"/>
      <c r="J147" s="58"/>
      <c r="K147" s="58"/>
      <c r="L147" s="57"/>
      <c r="M147" s="57"/>
      <c r="N147" s="57"/>
      <c r="O147" s="57"/>
      <c r="P147" s="58"/>
      <c r="Q147" s="58"/>
      <c r="R147" s="58"/>
      <c r="S147" s="58"/>
      <c r="T147" s="59"/>
      <c r="U147" s="149"/>
      <c r="V147" s="136"/>
      <c r="W147" s="136"/>
    </row>
    <row r="148" spans="1:23" ht="17.45" customHeight="1" x14ac:dyDescent="0.25">
      <c r="A148" s="55" t="s">
        <v>341</v>
      </c>
      <c r="B148" s="62" t="s">
        <v>337</v>
      </c>
      <c r="C148" s="45">
        <v>145</v>
      </c>
      <c r="D148" s="57"/>
      <c r="E148" s="57"/>
      <c r="F148" s="57"/>
      <c r="G148" s="57"/>
      <c r="H148" s="58"/>
      <c r="I148" s="58"/>
      <c r="J148" s="58"/>
      <c r="K148" s="58"/>
      <c r="L148" s="57"/>
      <c r="M148" s="57"/>
      <c r="N148" s="57"/>
      <c r="O148" s="57"/>
      <c r="P148" s="58"/>
      <c r="Q148" s="58"/>
      <c r="R148" s="58"/>
      <c r="S148" s="58"/>
      <c r="T148" s="59"/>
      <c r="U148" s="59"/>
      <c r="V148" s="136"/>
      <c r="W148" s="136"/>
    </row>
    <row r="149" spans="1:23" ht="17.45" customHeight="1" x14ac:dyDescent="0.25">
      <c r="A149" s="55" t="s">
        <v>341</v>
      </c>
      <c r="B149" s="62" t="s">
        <v>336</v>
      </c>
      <c r="C149" s="45">
        <v>146</v>
      </c>
      <c r="D149" s="57"/>
      <c r="E149" s="57"/>
      <c r="F149" s="57"/>
      <c r="G149" s="57"/>
      <c r="H149" s="58"/>
      <c r="I149" s="58"/>
      <c r="J149" s="58"/>
      <c r="K149" s="58"/>
      <c r="L149" s="57"/>
      <c r="M149" s="57"/>
      <c r="N149" s="57"/>
      <c r="O149" s="57"/>
      <c r="P149" s="58"/>
      <c r="Q149" s="58"/>
      <c r="R149" s="58"/>
      <c r="S149" s="58"/>
      <c r="T149" s="59"/>
      <c r="U149" s="59"/>
      <c r="V149" s="136"/>
      <c r="W149" s="136"/>
    </row>
    <row r="150" spans="1:23" ht="17.45" customHeight="1" x14ac:dyDescent="0.25">
      <c r="A150" s="55"/>
      <c r="B150" s="62" t="s">
        <v>933</v>
      </c>
      <c r="C150" s="45">
        <v>147</v>
      </c>
      <c r="D150" s="57"/>
      <c r="E150" s="57"/>
      <c r="F150" s="57"/>
      <c r="G150" s="57"/>
      <c r="H150" s="58"/>
      <c r="I150" s="58"/>
      <c r="J150" s="58"/>
      <c r="K150" s="58"/>
      <c r="L150" s="57"/>
      <c r="M150" s="57"/>
      <c r="N150" s="57"/>
      <c r="O150" s="57"/>
      <c r="P150" s="58"/>
      <c r="Q150" s="58"/>
      <c r="R150" s="58"/>
      <c r="S150" s="58"/>
      <c r="T150" s="59"/>
      <c r="U150" s="59"/>
      <c r="V150" s="136"/>
      <c r="W150" s="136"/>
    </row>
    <row r="151" spans="1:23" ht="17.45" customHeight="1" x14ac:dyDescent="0.25">
      <c r="A151" s="55" t="s">
        <v>341</v>
      </c>
      <c r="B151" s="62" t="s">
        <v>335</v>
      </c>
      <c r="C151" s="45">
        <v>148</v>
      </c>
      <c r="D151" s="57"/>
      <c r="E151" s="57"/>
      <c r="F151" s="57"/>
      <c r="G151" s="57"/>
      <c r="H151" s="58"/>
      <c r="I151" s="58"/>
      <c r="J151" s="58"/>
      <c r="K151" s="58"/>
      <c r="L151" s="57"/>
      <c r="M151" s="57"/>
      <c r="N151" s="57"/>
      <c r="O151" s="57"/>
      <c r="P151" s="58"/>
      <c r="Q151" s="58"/>
      <c r="R151" s="58"/>
      <c r="S151" s="58"/>
      <c r="T151" s="59"/>
      <c r="U151" s="59"/>
      <c r="V151" s="136"/>
      <c r="W151" s="136"/>
    </row>
    <row r="152" spans="1:23" ht="17.45" customHeight="1" x14ac:dyDescent="0.25">
      <c r="A152" s="55" t="s">
        <v>341</v>
      </c>
      <c r="B152" s="62" t="s">
        <v>334</v>
      </c>
      <c r="C152" s="45">
        <v>149</v>
      </c>
      <c r="D152" s="57"/>
      <c r="E152" s="57"/>
      <c r="F152" s="57"/>
      <c r="G152" s="57"/>
      <c r="H152" s="58"/>
      <c r="I152" s="58"/>
      <c r="J152" s="58"/>
      <c r="K152" s="58"/>
      <c r="L152" s="57"/>
      <c r="M152" s="57"/>
      <c r="N152" s="57"/>
      <c r="O152" s="57"/>
      <c r="P152" s="58"/>
      <c r="Q152" s="58"/>
      <c r="R152" s="58"/>
      <c r="S152" s="58"/>
      <c r="T152" s="59"/>
      <c r="U152" s="59"/>
      <c r="V152" s="136"/>
      <c r="W152" s="136"/>
    </row>
    <row r="153" spans="1:23" ht="17.45" customHeight="1" x14ac:dyDescent="0.25">
      <c r="A153" s="49" t="s">
        <v>333</v>
      </c>
      <c r="B153" s="50"/>
      <c r="C153" s="45">
        <v>150</v>
      </c>
      <c r="D153" s="51">
        <f>SUM(D154:D160)</f>
        <v>0</v>
      </c>
      <c r="E153" s="51">
        <f t="shared" ref="E153:U153" si="25">SUM(E154:E160)</f>
        <v>0</v>
      </c>
      <c r="F153" s="51">
        <f t="shared" si="25"/>
        <v>0</v>
      </c>
      <c r="G153" s="51">
        <f t="shared" si="25"/>
        <v>0</v>
      </c>
      <c r="H153" s="53">
        <f t="shared" si="25"/>
        <v>0</v>
      </c>
      <c r="I153" s="53">
        <f t="shared" si="25"/>
        <v>0</v>
      </c>
      <c r="J153" s="53">
        <f t="shared" si="25"/>
        <v>0</v>
      </c>
      <c r="K153" s="53">
        <f t="shared" si="25"/>
        <v>1</v>
      </c>
      <c r="L153" s="51">
        <f t="shared" si="25"/>
        <v>0</v>
      </c>
      <c r="M153" s="51">
        <f t="shared" si="25"/>
        <v>0</v>
      </c>
      <c r="N153" s="51">
        <f t="shared" si="25"/>
        <v>0</v>
      </c>
      <c r="O153" s="51">
        <f t="shared" si="25"/>
        <v>0</v>
      </c>
      <c r="P153" s="53">
        <f t="shared" si="25"/>
        <v>0</v>
      </c>
      <c r="Q153" s="53">
        <f t="shared" si="25"/>
        <v>0</v>
      </c>
      <c r="R153" s="53">
        <f t="shared" si="25"/>
        <v>0</v>
      </c>
      <c r="S153" s="53">
        <f t="shared" si="25"/>
        <v>0</v>
      </c>
      <c r="T153" s="54">
        <f t="shared" si="25"/>
        <v>0</v>
      </c>
      <c r="U153" s="54">
        <f t="shared" si="25"/>
        <v>0</v>
      </c>
      <c r="V153" s="135">
        <f t="shared" ref="V153:W153" si="26">SUM(V154:V160)</f>
        <v>0</v>
      </c>
      <c r="W153" s="135">
        <f t="shared" si="26"/>
        <v>0</v>
      </c>
    </row>
    <row r="154" spans="1:23" ht="17.45" customHeight="1" x14ac:dyDescent="0.25">
      <c r="A154" s="55" t="s">
        <v>333</v>
      </c>
      <c r="B154" s="62" t="s">
        <v>332</v>
      </c>
      <c r="C154" s="45">
        <v>151</v>
      </c>
      <c r="D154" s="57"/>
      <c r="E154" s="57"/>
      <c r="F154" s="57"/>
      <c r="G154" s="57"/>
      <c r="H154" s="58"/>
      <c r="I154" s="58"/>
      <c r="J154" s="58"/>
      <c r="K154" s="58"/>
      <c r="L154" s="57"/>
      <c r="M154" s="57"/>
      <c r="N154" s="57"/>
      <c r="O154" s="57"/>
      <c r="P154" s="58"/>
      <c r="Q154" s="58"/>
      <c r="R154" s="58"/>
      <c r="S154" s="58"/>
      <c r="T154" s="59"/>
      <c r="U154" s="59"/>
      <c r="V154" s="136"/>
      <c r="W154" s="136"/>
    </row>
    <row r="155" spans="1:23" ht="17.45" customHeight="1" x14ac:dyDescent="0.25">
      <c r="A155" s="55" t="s">
        <v>333</v>
      </c>
      <c r="B155" s="62" t="s">
        <v>331</v>
      </c>
      <c r="C155" s="45">
        <v>152</v>
      </c>
      <c r="D155" s="57"/>
      <c r="E155" s="57"/>
      <c r="F155" s="57"/>
      <c r="G155" s="57"/>
      <c r="H155" s="58"/>
      <c r="I155" s="58"/>
      <c r="J155" s="58"/>
      <c r="K155" s="58"/>
      <c r="L155" s="57"/>
      <c r="M155" s="57"/>
      <c r="N155" s="57"/>
      <c r="O155" s="57"/>
      <c r="P155" s="58"/>
      <c r="Q155" s="58"/>
      <c r="R155" s="58"/>
      <c r="S155" s="58"/>
      <c r="T155" s="59"/>
      <c r="U155" s="59"/>
      <c r="V155" s="136"/>
      <c r="W155" s="136"/>
    </row>
    <row r="156" spans="1:23" ht="17.45" customHeight="1" x14ac:dyDescent="0.25">
      <c r="A156" s="55" t="s">
        <v>333</v>
      </c>
      <c r="B156" s="62" t="s">
        <v>330</v>
      </c>
      <c r="C156" s="45">
        <v>153</v>
      </c>
      <c r="D156" s="57"/>
      <c r="E156" s="57"/>
      <c r="F156" s="57"/>
      <c r="G156" s="57"/>
      <c r="H156" s="58"/>
      <c r="I156" s="58"/>
      <c r="J156" s="58"/>
      <c r="K156" s="58"/>
      <c r="L156" s="57"/>
      <c r="M156" s="57"/>
      <c r="N156" s="57"/>
      <c r="O156" s="57"/>
      <c r="P156" s="58"/>
      <c r="Q156" s="58"/>
      <c r="R156" s="58"/>
      <c r="S156" s="58"/>
      <c r="T156" s="59"/>
      <c r="U156" s="59"/>
      <c r="V156" s="136"/>
      <c r="W156" s="136"/>
    </row>
    <row r="157" spans="1:23" ht="17.45" customHeight="1" x14ac:dyDescent="0.25">
      <c r="A157" s="55" t="s">
        <v>333</v>
      </c>
      <c r="B157" s="62" t="s">
        <v>329</v>
      </c>
      <c r="C157" s="45">
        <v>154</v>
      </c>
      <c r="D157" s="57"/>
      <c r="E157" s="57"/>
      <c r="F157" s="57"/>
      <c r="G157" s="57"/>
      <c r="H157" s="58"/>
      <c r="I157" s="58"/>
      <c r="J157" s="58"/>
      <c r="K157" s="58">
        <v>1</v>
      </c>
      <c r="L157" s="57"/>
      <c r="M157" s="57"/>
      <c r="N157" s="57"/>
      <c r="O157" s="57"/>
      <c r="P157" s="58"/>
      <c r="Q157" s="58"/>
      <c r="R157" s="58"/>
      <c r="S157" s="58"/>
      <c r="T157" s="59"/>
      <c r="U157" s="59"/>
      <c r="V157" s="136"/>
      <c r="W157" s="136"/>
    </row>
    <row r="158" spans="1:23" ht="17.45" customHeight="1" x14ac:dyDescent="0.25">
      <c r="A158" s="55" t="s">
        <v>333</v>
      </c>
      <c r="B158" s="62" t="s">
        <v>328</v>
      </c>
      <c r="C158" s="45">
        <v>155</v>
      </c>
      <c r="D158" s="57"/>
      <c r="E158" s="57"/>
      <c r="F158" s="57"/>
      <c r="G158" s="57"/>
      <c r="H158" s="58"/>
      <c r="I158" s="58"/>
      <c r="J158" s="58"/>
      <c r="K158" s="58"/>
      <c r="L158" s="57"/>
      <c r="M158" s="57"/>
      <c r="N158" s="57"/>
      <c r="O158" s="57"/>
      <c r="P158" s="58"/>
      <c r="Q158" s="58"/>
      <c r="R158" s="58"/>
      <c r="S158" s="58"/>
      <c r="T158" s="59"/>
      <c r="U158" s="59"/>
      <c r="V158" s="136"/>
      <c r="W158" s="136"/>
    </row>
    <row r="159" spans="1:23" ht="17.45" customHeight="1" x14ac:dyDescent="0.25">
      <c r="A159" s="55" t="s">
        <v>333</v>
      </c>
      <c r="B159" s="62" t="s">
        <v>327</v>
      </c>
      <c r="C159" s="45">
        <v>156</v>
      </c>
      <c r="D159" s="57"/>
      <c r="E159" s="57"/>
      <c r="F159" s="57"/>
      <c r="G159" s="57"/>
      <c r="H159" s="58"/>
      <c r="I159" s="58"/>
      <c r="J159" s="58"/>
      <c r="K159" s="58"/>
      <c r="L159" s="57"/>
      <c r="M159" s="57"/>
      <c r="N159" s="57"/>
      <c r="O159" s="57"/>
      <c r="P159" s="58"/>
      <c r="Q159" s="58"/>
      <c r="R159" s="58"/>
      <c r="S159" s="58"/>
      <c r="T159" s="59"/>
      <c r="U159" s="59"/>
      <c r="V159" s="136"/>
      <c r="W159" s="136"/>
    </row>
    <row r="160" spans="1:23" ht="17.45" customHeight="1" x14ac:dyDescent="0.25">
      <c r="A160" s="55" t="s">
        <v>333</v>
      </c>
      <c r="B160" s="62" t="s">
        <v>326</v>
      </c>
      <c r="C160" s="45">
        <v>157</v>
      </c>
      <c r="D160" s="57"/>
      <c r="E160" s="57"/>
      <c r="F160" s="57"/>
      <c r="G160" s="57"/>
      <c r="H160" s="58"/>
      <c r="I160" s="58"/>
      <c r="J160" s="58"/>
      <c r="K160" s="58"/>
      <c r="L160" s="57"/>
      <c r="M160" s="57"/>
      <c r="N160" s="57"/>
      <c r="O160" s="57"/>
      <c r="P160" s="58"/>
      <c r="Q160" s="58"/>
      <c r="R160" s="58"/>
      <c r="S160" s="58"/>
      <c r="T160" s="59"/>
      <c r="U160" s="59"/>
      <c r="V160" s="136"/>
      <c r="W160" s="136"/>
    </row>
    <row r="161" spans="1:23" ht="17.45" customHeight="1" x14ac:dyDescent="0.25">
      <c r="A161" s="49" t="s">
        <v>325</v>
      </c>
      <c r="B161" s="50"/>
      <c r="C161" s="45">
        <v>158</v>
      </c>
      <c r="D161" s="51">
        <f t="shared" ref="D161:W161" si="27">D162+D183+D190+D195+D206+D214+D228+D237</f>
        <v>0</v>
      </c>
      <c r="E161" s="51">
        <f t="shared" si="27"/>
        <v>0</v>
      </c>
      <c r="F161" s="51">
        <f t="shared" si="27"/>
        <v>0</v>
      </c>
      <c r="G161" s="51">
        <f t="shared" si="27"/>
        <v>0</v>
      </c>
      <c r="H161" s="53">
        <f t="shared" si="27"/>
        <v>262</v>
      </c>
      <c r="I161" s="53">
        <f t="shared" si="27"/>
        <v>105</v>
      </c>
      <c r="J161" s="53">
        <f t="shared" si="27"/>
        <v>128</v>
      </c>
      <c r="K161" s="53">
        <f t="shared" si="27"/>
        <v>92</v>
      </c>
      <c r="L161" s="51">
        <f t="shared" si="27"/>
        <v>0</v>
      </c>
      <c r="M161" s="51">
        <f t="shared" si="27"/>
        <v>0</v>
      </c>
      <c r="N161" s="51">
        <f t="shared" si="27"/>
        <v>0</v>
      </c>
      <c r="O161" s="51">
        <f t="shared" si="27"/>
        <v>0</v>
      </c>
      <c r="P161" s="53">
        <f t="shared" si="27"/>
        <v>0</v>
      </c>
      <c r="Q161" s="53">
        <f t="shared" si="27"/>
        <v>0</v>
      </c>
      <c r="R161" s="53">
        <f t="shared" si="27"/>
        <v>0</v>
      </c>
      <c r="S161" s="53">
        <f t="shared" si="27"/>
        <v>0</v>
      </c>
      <c r="T161" s="54">
        <f t="shared" si="27"/>
        <v>22</v>
      </c>
      <c r="U161" s="54">
        <f t="shared" si="27"/>
        <v>16</v>
      </c>
      <c r="V161" s="135">
        <f t="shared" si="27"/>
        <v>35</v>
      </c>
      <c r="W161" s="135">
        <f t="shared" si="27"/>
        <v>15</v>
      </c>
    </row>
    <row r="162" spans="1:23" ht="17.45" customHeight="1" x14ac:dyDescent="0.25">
      <c r="A162" s="49" t="s">
        <v>324</v>
      </c>
      <c r="B162" s="50"/>
      <c r="C162" s="45">
        <v>159</v>
      </c>
      <c r="D162" s="51">
        <f t="shared" ref="D162:U162" si="28">SUM(D163:D182)</f>
        <v>0</v>
      </c>
      <c r="E162" s="51">
        <f t="shared" si="28"/>
        <v>0</v>
      </c>
      <c r="F162" s="51">
        <f t="shared" si="28"/>
        <v>0</v>
      </c>
      <c r="G162" s="51">
        <f t="shared" si="28"/>
        <v>0</v>
      </c>
      <c r="H162" s="53">
        <f t="shared" si="28"/>
        <v>8</v>
      </c>
      <c r="I162" s="53">
        <f t="shared" si="28"/>
        <v>2</v>
      </c>
      <c r="J162" s="53">
        <f t="shared" si="28"/>
        <v>2</v>
      </c>
      <c r="K162" s="53">
        <f t="shared" si="28"/>
        <v>3</v>
      </c>
      <c r="L162" s="51">
        <f t="shared" si="28"/>
        <v>0</v>
      </c>
      <c r="M162" s="51">
        <f t="shared" si="28"/>
        <v>0</v>
      </c>
      <c r="N162" s="51">
        <f t="shared" si="28"/>
        <v>0</v>
      </c>
      <c r="O162" s="51">
        <f t="shared" si="28"/>
        <v>0</v>
      </c>
      <c r="P162" s="53">
        <f t="shared" si="28"/>
        <v>0</v>
      </c>
      <c r="Q162" s="53">
        <f t="shared" si="28"/>
        <v>0</v>
      </c>
      <c r="R162" s="53">
        <f t="shared" si="28"/>
        <v>0</v>
      </c>
      <c r="S162" s="53">
        <f t="shared" si="28"/>
        <v>0</v>
      </c>
      <c r="T162" s="54">
        <f t="shared" si="28"/>
        <v>0</v>
      </c>
      <c r="U162" s="54">
        <f t="shared" si="28"/>
        <v>0</v>
      </c>
      <c r="V162" s="135">
        <f t="shared" ref="V162:W162" si="29">SUM(V163:V182)</f>
        <v>0</v>
      </c>
      <c r="W162" s="135">
        <f t="shared" si="29"/>
        <v>0</v>
      </c>
    </row>
    <row r="163" spans="1:23" ht="17.45" customHeight="1" x14ac:dyDescent="0.25">
      <c r="A163" s="55" t="s">
        <v>324</v>
      </c>
      <c r="B163" s="61" t="s">
        <v>323</v>
      </c>
      <c r="C163" s="45">
        <v>160</v>
      </c>
      <c r="D163" s="57"/>
      <c r="E163" s="57"/>
      <c r="F163" s="57"/>
      <c r="G163" s="57"/>
      <c r="H163" s="58"/>
      <c r="I163" s="58"/>
      <c r="J163" s="58"/>
      <c r="K163" s="58"/>
      <c r="L163" s="57"/>
      <c r="M163" s="57"/>
      <c r="N163" s="57"/>
      <c r="O163" s="57"/>
      <c r="P163" s="58"/>
      <c r="Q163" s="58"/>
      <c r="R163" s="58"/>
      <c r="S163" s="58"/>
      <c r="T163" s="59"/>
      <c r="U163" s="59"/>
      <c r="V163" s="136"/>
      <c r="W163" s="136"/>
    </row>
    <row r="164" spans="1:23" ht="17.45" customHeight="1" x14ac:dyDescent="0.25">
      <c r="A164" s="55" t="s">
        <v>324</v>
      </c>
      <c r="B164" s="62" t="s">
        <v>322</v>
      </c>
      <c r="C164" s="45">
        <v>161</v>
      </c>
      <c r="D164" s="57"/>
      <c r="E164" s="57"/>
      <c r="F164" s="57"/>
      <c r="G164" s="57"/>
      <c r="H164" s="58"/>
      <c r="I164" s="58"/>
      <c r="J164" s="58"/>
      <c r="K164" s="58"/>
      <c r="L164" s="57"/>
      <c r="M164" s="57"/>
      <c r="N164" s="57"/>
      <c r="O164" s="57"/>
      <c r="P164" s="58"/>
      <c r="Q164" s="58"/>
      <c r="R164" s="58"/>
      <c r="S164" s="58"/>
      <c r="T164" s="59"/>
      <c r="U164" s="59"/>
      <c r="V164" s="136"/>
      <c r="W164" s="136"/>
    </row>
    <row r="165" spans="1:23" ht="17.45" customHeight="1" x14ac:dyDescent="0.25">
      <c r="A165" s="55" t="s">
        <v>324</v>
      </c>
      <c r="B165" s="62" t="s">
        <v>321</v>
      </c>
      <c r="C165" s="45">
        <v>162</v>
      </c>
      <c r="D165" s="57"/>
      <c r="E165" s="57"/>
      <c r="F165" s="57"/>
      <c r="G165" s="57"/>
      <c r="H165" s="58"/>
      <c r="I165" s="58"/>
      <c r="J165" s="58"/>
      <c r="K165" s="58"/>
      <c r="L165" s="57"/>
      <c r="M165" s="57"/>
      <c r="N165" s="57"/>
      <c r="O165" s="57"/>
      <c r="P165" s="58"/>
      <c r="Q165" s="58"/>
      <c r="R165" s="58"/>
      <c r="S165" s="58"/>
      <c r="T165" s="59"/>
      <c r="U165" s="59"/>
      <c r="V165" s="136"/>
      <c r="W165" s="136"/>
    </row>
    <row r="166" spans="1:23" ht="17.45" customHeight="1" x14ac:dyDescent="0.25">
      <c r="A166" s="55" t="s">
        <v>324</v>
      </c>
      <c r="B166" s="62" t="s">
        <v>320</v>
      </c>
      <c r="C166" s="45">
        <v>163</v>
      </c>
      <c r="D166" s="57"/>
      <c r="E166" s="57"/>
      <c r="F166" s="57"/>
      <c r="G166" s="57"/>
      <c r="H166" s="58"/>
      <c r="I166" s="58"/>
      <c r="J166" s="58"/>
      <c r="K166" s="58"/>
      <c r="L166" s="57"/>
      <c r="M166" s="57"/>
      <c r="N166" s="57"/>
      <c r="O166" s="57"/>
      <c r="P166" s="58"/>
      <c r="Q166" s="58"/>
      <c r="R166" s="58"/>
      <c r="S166" s="58"/>
      <c r="T166" s="59"/>
      <c r="U166" s="59"/>
      <c r="V166" s="136"/>
      <c r="W166" s="136"/>
    </row>
    <row r="167" spans="1:23" ht="17.45" customHeight="1" x14ac:dyDescent="0.25">
      <c r="A167" s="55" t="s">
        <v>324</v>
      </c>
      <c r="B167" s="62" t="s">
        <v>319</v>
      </c>
      <c r="C167" s="45">
        <v>164</v>
      </c>
      <c r="D167" s="57"/>
      <c r="E167" s="57"/>
      <c r="F167" s="57"/>
      <c r="G167" s="57"/>
      <c r="H167" s="58"/>
      <c r="I167" s="58"/>
      <c r="J167" s="58"/>
      <c r="K167" s="58"/>
      <c r="L167" s="57"/>
      <c r="M167" s="57"/>
      <c r="N167" s="57"/>
      <c r="O167" s="57"/>
      <c r="P167" s="58"/>
      <c r="Q167" s="58"/>
      <c r="R167" s="58"/>
      <c r="S167" s="58"/>
      <c r="T167" s="59"/>
      <c r="U167" s="59"/>
      <c r="V167" s="136"/>
      <c r="W167" s="136"/>
    </row>
    <row r="168" spans="1:23" ht="17.45" customHeight="1" x14ac:dyDescent="0.25">
      <c r="A168" s="55" t="s">
        <v>324</v>
      </c>
      <c r="B168" s="62" t="s">
        <v>318</v>
      </c>
      <c r="C168" s="45">
        <v>165</v>
      </c>
      <c r="D168" s="57"/>
      <c r="E168" s="57"/>
      <c r="F168" s="57"/>
      <c r="G168" s="57"/>
      <c r="H168" s="58"/>
      <c r="I168" s="58"/>
      <c r="J168" s="58"/>
      <c r="K168" s="58"/>
      <c r="L168" s="57"/>
      <c r="M168" s="57"/>
      <c r="N168" s="57"/>
      <c r="O168" s="57"/>
      <c r="P168" s="58"/>
      <c r="Q168" s="58"/>
      <c r="R168" s="58"/>
      <c r="S168" s="58"/>
      <c r="T168" s="59"/>
      <c r="U168" s="59"/>
      <c r="V168" s="136"/>
      <c r="W168" s="136"/>
    </row>
    <row r="169" spans="1:23" ht="17.45" customHeight="1" x14ac:dyDescent="0.25">
      <c r="A169" s="55" t="s">
        <v>324</v>
      </c>
      <c r="B169" s="62" t="s">
        <v>317</v>
      </c>
      <c r="C169" s="45">
        <v>166</v>
      </c>
      <c r="D169" s="57"/>
      <c r="E169" s="57"/>
      <c r="F169" s="57"/>
      <c r="G169" s="57"/>
      <c r="H169" s="58"/>
      <c r="I169" s="58"/>
      <c r="J169" s="58"/>
      <c r="K169" s="58">
        <v>1</v>
      </c>
      <c r="L169" s="57"/>
      <c r="M169" s="57"/>
      <c r="N169" s="57"/>
      <c r="O169" s="57"/>
      <c r="P169" s="58"/>
      <c r="Q169" s="58"/>
      <c r="R169" s="58"/>
      <c r="S169" s="58"/>
      <c r="T169" s="59"/>
      <c r="U169" s="59"/>
      <c r="V169" s="136"/>
      <c r="W169" s="136"/>
    </row>
    <row r="170" spans="1:23" ht="17.45" customHeight="1" x14ac:dyDescent="0.25">
      <c r="A170" s="55" t="s">
        <v>324</v>
      </c>
      <c r="B170" s="62" t="s">
        <v>316</v>
      </c>
      <c r="C170" s="45">
        <v>167</v>
      </c>
      <c r="D170" s="57"/>
      <c r="E170" s="57"/>
      <c r="F170" s="57"/>
      <c r="G170" s="57"/>
      <c r="H170" s="58"/>
      <c r="I170" s="58"/>
      <c r="J170" s="58"/>
      <c r="K170" s="58"/>
      <c r="L170" s="57"/>
      <c r="M170" s="57"/>
      <c r="N170" s="57"/>
      <c r="O170" s="57"/>
      <c r="P170" s="58"/>
      <c r="Q170" s="58"/>
      <c r="R170" s="58"/>
      <c r="S170" s="58"/>
      <c r="T170" s="59"/>
      <c r="U170" s="59"/>
      <c r="V170" s="136"/>
      <c r="W170" s="136"/>
    </row>
    <row r="171" spans="1:23" ht="17.45" customHeight="1" x14ac:dyDescent="0.25">
      <c r="A171" s="55" t="s">
        <v>324</v>
      </c>
      <c r="B171" s="62" t="s">
        <v>315</v>
      </c>
      <c r="C171" s="45">
        <v>168</v>
      </c>
      <c r="D171" s="57"/>
      <c r="E171" s="57"/>
      <c r="F171" s="57"/>
      <c r="G171" s="57"/>
      <c r="H171" s="58"/>
      <c r="I171" s="58"/>
      <c r="J171" s="58"/>
      <c r="K171" s="58"/>
      <c r="L171" s="57"/>
      <c r="M171" s="57"/>
      <c r="N171" s="57"/>
      <c r="O171" s="57"/>
      <c r="P171" s="58"/>
      <c r="Q171" s="58"/>
      <c r="R171" s="58"/>
      <c r="S171" s="58"/>
      <c r="T171" s="59"/>
      <c r="U171" s="59"/>
      <c r="V171" s="136"/>
      <c r="W171" s="136"/>
    </row>
    <row r="172" spans="1:23" ht="17.45" customHeight="1" x14ac:dyDescent="0.25">
      <c r="A172" s="55" t="s">
        <v>324</v>
      </c>
      <c r="B172" s="62" t="s">
        <v>314</v>
      </c>
      <c r="C172" s="45">
        <v>169</v>
      </c>
      <c r="D172" s="57"/>
      <c r="E172" s="57"/>
      <c r="F172" s="57"/>
      <c r="G172" s="57"/>
      <c r="H172" s="58"/>
      <c r="I172" s="58"/>
      <c r="J172" s="58"/>
      <c r="K172" s="58"/>
      <c r="L172" s="57"/>
      <c r="M172" s="57"/>
      <c r="N172" s="57"/>
      <c r="O172" s="57"/>
      <c r="P172" s="58"/>
      <c r="Q172" s="58"/>
      <c r="R172" s="58"/>
      <c r="S172" s="58"/>
      <c r="T172" s="59"/>
      <c r="U172" s="59"/>
      <c r="V172" s="136"/>
      <c r="W172" s="136"/>
    </row>
    <row r="173" spans="1:23" ht="17.45" customHeight="1" x14ac:dyDescent="0.25">
      <c r="A173" s="55" t="s">
        <v>324</v>
      </c>
      <c r="B173" s="62" t="s">
        <v>313</v>
      </c>
      <c r="C173" s="45">
        <v>170</v>
      </c>
      <c r="D173" s="57"/>
      <c r="E173" s="57"/>
      <c r="F173" s="57"/>
      <c r="G173" s="57"/>
      <c r="H173" s="58"/>
      <c r="I173" s="58"/>
      <c r="J173" s="58"/>
      <c r="K173" s="58"/>
      <c r="L173" s="57"/>
      <c r="M173" s="57"/>
      <c r="N173" s="57"/>
      <c r="O173" s="57"/>
      <c r="P173" s="58"/>
      <c r="Q173" s="58"/>
      <c r="R173" s="58"/>
      <c r="S173" s="58"/>
      <c r="T173" s="59"/>
      <c r="U173" s="59"/>
      <c r="V173" s="136"/>
      <c r="W173" s="136"/>
    </row>
    <row r="174" spans="1:23" ht="17.45" customHeight="1" x14ac:dyDescent="0.25">
      <c r="A174" s="55" t="s">
        <v>324</v>
      </c>
      <c r="B174" s="62" t="s">
        <v>312</v>
      </c>
      <c r="C174" s="45">
        <v>171</v>
      </c>
      <c r="D174" s="57"/>
      <c r="E174" s="57"/>
      <c r="F174" s="57"/>
      <c r="G174" s="57"/>
      <c r="H174" s="58"/>
      <c r="I174" s="58"/>
      <c r="J174" s="58"/>
      <c r="K174" s="58"/>
      <c r="L174" s="57"/>
      <c r="M174" s="57"/>
      <c r="N174" s="57"/>
      <c r="O174" s="57"/>
      <c r="P174" s="58"/>
      <c r="Q174" s="58"/>
      <c r="R174" s="58"/>
      <c r="S174" s="58"/>
      <c r="T174" s="59"/>
      <c r="U174" s="59"/>
      <c r="V174" s="136"/>
      <c r="W174" s="136"/>
    </row>
    <row r="175" spans="1:23" ht="17.45" customHeight="1" x14ac:dyDescent="0.25">
      <c r="A175" s="55" t="s">
        <v>324</v>
      </c>
      <c r="B175" s="62" t="s">
        <v>311</v>
      </c>
      <c r="C175" s="45">
        <v>172</v>
      </c>
      <c r="D175" s="57"/>
      <c r="E175" s="57"/>
      <c r="F175" s="57"/>
      <c r="G175" s="57"/>
      <c r="H175" s="58"/>
      <c r="I175" s="58"/>
      <c r="J175" s="58"/>
      <c r="K175" s="58"/>
      <c r="L175" s="57"/>
      <c r="M175" s="57"/>
      <c r="N175" s="57"/>
      <c r="O175" s="57"/>
      <c r="P175" s="58"/>
      <c r="Q175" s="58"/>
      <c r="R175" s="58"/>
      <c r="S175" s="58"/>
      <c r="T175" s="59"/>
      <c r="U175" s="59"/>
      <c r="V175" s="136"/>
      <c r="W175" s="136"/>
    </row>
    <row r="176" spans="1:23" ht="17.45" customHeight="1" x14ac:dyDescent="0.25">
      <c r="A176" s="55" t="s">
        <v>324</v>
      </c>
      <c r="B176" s="62" t="s">
        <v>310</v>
      </c>
      <c r="C176" s="45">
        <v>173</v>
      </c>
      <c r="D176" s="57"/>
      <c r="E176" s="57"/>
      <c r="F176" s="57"/>
      <c r="G176" s="57"/>
      <c r="H176" s="58"/>
      <c r="I176" s="58"/>
      <c r="J176" s="58"/>
      <c r="K176" s="58"/>
      <c r="L176" s="57"/>
      <c r="M176" s="57"/>
      <c r="N176" s="57"/>
      <c r="O176" s="57"/>
      <c r="P176" s="58"/>
      <c r="Q176" s="58"/>
      <c r="R176" s="58"/>
      <c r="S176" s="58"/>
      <c r="T176" s="59"/>
      <c r="U176" s="59"/>
      <c r="V176" s="136"/>
      <c r="W176" s="136"/>
    </row>
    <row r="177" spans="1:23" ht="17.45" customHeight="1" x14ac:dyDescent="0.25">
      <c r="A177" s="55" t="s">
        <v>324</v>
      </c>
      <c r="B177" s="62" t="s">
        <v>309</v>
      </c>
      <c r="C177" s="45">
        <v>174</v>
      </c>
      <c r="D177" s="57"/>
      <c r="E177" s="57"/>
      <c r="F177" s="57"/>
      <c r="G177" s="57"/>
      <c r="H177" s="58"/>
      <c r="I177" s="58"/>
      <c r="J177" s="58"/>
      <c r="K177" s="58"/>
      <c r="L177" s="57"/>
      <c r="M177" s="57"/>
      <c r="N177" s="57"/>
      <c r="O177" s="57"/>
      <c r="P177" s="58"/>
      <c r="Q177" s="58"/>
      <c r="R177" s="58"/>
      <c r="S177" s="58"/>
      <c r="T177" s="59"/>
      <c r="U177" s="59"/>
      <c r="V177" s="136"/>
      <c r="W177" s="136"/>
    </row>
    <row r="178" spans="1:23" ht="17.45" customHeight="1" x14ac:dyDescent="0.25">
      <c r="A178" s="55" t="s">
        <v>324</v>
      </c>
      <c r="B178" s="62" t="s">
        <v>308</v>
      </c>
      <c r="C178" s="45">
        <v>175</v>
      </c>
      <c r="D178" s="57"/>
      <c r="E178" s="57"/>
      <c r="F178" s="57"/>
      <c r="G178" s="57"/>
      <c r="H178" s="58">
        <v>8</v>
      </c>
      <c r="I178" s="58">
        <v>2</v>
      </c>
      <c r="J178" s="58">
        <v>2</v>
      </c>
      <c r="K178" s="58">
        <v>2</v>
      </c>
      <c r="L178" s="57"/>
      <c r="M178" s="57"/>
      <c r="N178" s="57"/>
      <c r="O178" s="57"/>
      <c r="P178" s="58"/>
      <c r="Q178" s="58"/>
      <c r="R178" s="58"/>
      <c r="S178" s="58"/>
      <c r="T178" s="59"/>
      <c r="U178" s="59"/>
      <c r="V178" s="136"/>
      <c r="W178" s="136"/>
    </row>
    <row r="179" spans="1:23" ht="18" customHeight="1" x14ac:dyDescent="0.25">
      <c r="A179" s="55" t="s">
        <v>324</v>
      </c>
      <c r="B179" s="62" t="s">
        <v>307</v>
      </c>
      <c r="C179" s="45">
        <v>176</v>
      </c>
      <c r="D179" s="57"/>
      <c r="E179" s="57"/>
      <c r="F179" s="57"/>
      <c r="G179" s="57"/>
      <c r="H179" s="58"/>
      <c r="I179" s="58"/>
      <c r="J179" s="58"/>
      <c r="K179" s="58"/>
      <c r="L179" s="57"/>
      <c r="M179" s="57"/>
      <c r="N179" s="57"/>
      <c r="O179" s="57"/>
      <c r="P179" s="58"/>
      <c r="Q179" s="58"/>
      <c r="R179" s="58"/>
      <c r="S179" s="58"/>
      <c r="T179" s="59"/>
      <c r="U179" s="59"/>
      <c r="V179" s="136"/>
      <c r="W179" s="136"/>
    </row>
    <row r="180" spans="1:23" ht="18" customHeight="1" x14ac:dyDescent="0.25">
      <c r="A180" s="55" t="s">
        <v>324</v>
      </c>
      <c r="B180" s="62" t="s">
        <v>306</v>
      </c>
      <c r="C180" s="45">
        <v>177</v>
      </c>
      <c r="D180" s="57"/>
      <c r="E180" s="57"/>
      <c r="F180" s="57"/>
      <c r="G180" s="57"/>
      <c r="H180" s="58"/>
      <c r="I180" s="58"/>
      <c r="J180" s="58"/>
      <c r="K180" s="58"/>
      <c r="L180" s="57"/>
      <c r="M180" s="57"/>
      <c r="N180" s="57"/>
      <c r="O180" s="57"/>
      <c r="P180" s="58"/>
      <c r="Q180" s="58"/>
      <c r="R180" s="58"/>
      <c r="S180" s="58"/>
      <c r="T180" s="59"/>
      <c r="U180" s="59"/>
      <c r="V180" s="136"/>
      <c r="W180" s="136"/>
    </row>
    <row r="181" spans="1:23" ht="18" customHeight="1" x14ac:dyDescent="0.25">
      <c r="A181" s="55" t="s">
        <v>324</v>
      </c>
      <c r="B181" s="62" t="s">
        <v>305</v>
      </c>
      <c r="C181" s="45">
        <v>178</v>
      </c>
      <c r="D181" s="57"/>
      <c r="E181" s="57"/>
      <c r="F181" s="57"/>
      <c r="G181" s="57"/>
      <c r="H181" s="58"/>
      <c r="I181" s="58"/>
      <c r="J181" s="58"/>
      <c r="K181" s="58"/>
      <c r="L181" s="57"/>
      <c r="M181" s="57"/>
      <c r="N181" s="57"/>
      <c r="O181" s="57"/>
      <c r="P181" s="58"/>
      <c r="Q181" s="58"/>
      <c r="R181" s="58"/>
      <c r="S181" s="58"/>
      <c r="T181" s="59"/>
      <c r="U181" s="59"/>
      <c r="V181" s="136"/>
      <c r="W181" s="136"/>
    </row>
    <row r="182" spans="1:23" ht="18" customHeight="1" x14ac:dyDescent="0.25">
      <c r="A182" s="55" t="s">
        <v>324</v>
      </c>
      <c r="B182" s="62" t="s">
        <v>304</v>
      </c>
      <c r="C182" s="45">
        <v>179</v>
      </c>
      <c r="D182" s="57"/>
      <c r="E182" s="57"/>
      <c r="F182" s="57"/>
      <c r="G182" s="57"/>
      <c r="H182" s="58"/>
      <c r="I182" s="58"/>
      <c r="J182" s="58"/>
      <c r="K182" s="58"/>
      <c r="L182" s="57"/>
      <c r="M182" s="57"/>
      <c r="N182" s="57"/>
      <c r="O182" s="57"/>
      <c r="P182" s="58"/>
      <c r="Q182" s="58"/>
      <c r="R182" s="58"/>
      <c r="S182" s="58"/>
      <c r="T182" s="59"/>
      <c r="U182" s="59"/>
      <c r="V182" s="136"/>
      <c r="W182" s="136"/>
    </row>
    <row r="183" spans="1:23" ht="18" customHeight="1" x14ac:dyDescent="0.25">
      <c r="A183" s="49" t="s">
        <v>303</v>
      </c>
      <c r="B183" s="50"/>
      <c r="C183" s="45">
        <v>180</v>
      </c>
      <c r="D183" s="51">
        <f>SUM(D184:D189)</f>
        <v>0</v>
      </c>
      <c r="E183" s="51">
        <f t="shared" ref="E183:U183" si="30">SUM(E184:E189)</f>
        <v>0</v>
      </c>
      <c r="F183" s="51">
        <f t="shared" si="30"/>
        <v>0</v>
      </c>
      <c r="G183" s="51">
        <f t="shared" si="30"/>
        <v>0</v>
      </c>
      <c r="H183" s="53">
        <f t="shared" si="30"/>
        <v>0</v>
      </c>
      <c r="I183" s="53">
        <f t="shared" si="30"/>
        <v>0</v>
      </c>
      <c r="J183" s="53">
        <f t="shared" si="30"/>
        <v>0</v>
      </c>
      <c r="K183" s="53">
        <f t="shared" si="30"/>
        <v>1</v>
      </c>
      <c r="L183" s="51">
        <f t="shared" si="30"/>
        <v>0</v>
      </c>
      <c r="M183" s="51">
        <f t="shared" si="30"/>
        <v>0</v>
      </c>
      <c r="N183" s="51">
        <f t="shared" si="30"/>
        <v>0</v>
      </c>
      <c r="O183" s="51">
        <f t="shared" si="30"/>
        <v>0</v>
      </c>
      <c r="P183" s="53">
        <f t="shared" si="30"/>
        <v>0</v>
      </c>
      <c r="Q183" s="53">
        <f t="shared" si="30"/>
        <v>0</v>
      </c>
      <c r="R183" s="53">
        <f t="shared" si="30"/>
        <v>0</v>
      </c>
      <c r="S183" s="53">
        <f t="shared" si="30"/>
        <v>0</v>
      </c>
      <c r="T183" s="54">
        <f t="shared" si="30"/>
        <v>0</v>
      </c>
      <c r="U183" s="54">
        <f t="shared" si="30"/>
        <v>0</v>
      </c>
      <c r="V183" s="135">
        <f t="shared" ref="V183:W183" si="31">SUM(V184:V189)</f>
        <v>0</v>
      </c>
      <c r="W183" s="135">
        <f t="shared" si="31"/>
        <v>0</v>
      </c>
    </row>
    <row r="184" spans="1:23" ht="18" customHeight="1" x14ac:dyDescent="0.25">
      <c r="A184" s="55" t="s">
        <v>303</v>
      </c>
      <c r="B184" s="62" t="s">
        <v>302</v>
      </c>
      <c r="C184" s="45">
        <v>181</v>
      </c>
      <c r="D184" s="57"/>
      <c r="E184" s="57"/>
      <c r="F184" s="57"/>
      <c r="G184" s="57"/>
      <c r="H184" s="58"/>
      <c r="I184" s="58"/>
      <c r="J184" s="58"/>
      <c r="K184" s="58">
        <v>1</v>
      </c>
      <c r="L184" s="57"/>
      <c r="M184" s="57"/>
      <c r="N184" s="57"/>
      <c r="O184" s="57"/>
      <c r="P184" s="58"/>
      <c r="Q184" s="58"/>
      <c r="R184" s="58"/>
      <c r="S184" s="58"/>
      <c r="T184" s="59"/>
      <c r="U184" s="59"/>
      <c r="V184" s="136"/>
      <c r="W184" s="136"/>
    </row>
    <row r="185" spans="1:23" ht="18" customHeight="1" x14ac:dyDescent="0.25">
      <c r="A185" s="55" t="s">
        <v>303</v>
      </c>
      <c r="B185" s="62" t="s">
        <v>301</v>
      </c>
      <c r="C185" s="45">
        <v>182</v>
      </c>
      <c r="D185" s="57"/>
      <c r="E185" s="57"/>
      <c r="F185" s="57"/>
      <c r="G185" s="57"/>
      <c r="H185" s="58"/>
      <c r="I185" s="58"/>
      <c r="J185" s="58"/>
      <c r="K185" s="58"/>
      <c r="L185" s="57"/>
      <c r="M185" s="57"/>
      <c r="N185" s="57"/>
      <c r="O185" s="57"/>
      <c r="P185" s="58"/>
      <c r="Q185" s="58"/>
      <c r="R185" s="58"/>
      <c r="S185" s="58"/>
      <c r="T185" s="59"/>
      <c r="U185" s="59"/>
      <c r="V185" s="136"/>
      <c r="W185" s="136"/>
    </row>
    <row r="186" spans="1:23" ht="18" customHeight="1" x14ac:dyDescent="0.25">
      <c r="A186" s="55" t="s">
        <v>303</v>
      </c>
      <c r="B186" s="62" t="s">
        <v>300</v>
      </c>
      <c r="C186" s="45">
        <v>183</v>
      </c>
      <c r="D186" s="57"/>
      <c r="E186" s="57"/>
      <c r="F186" s="57"/>
      <c r="G186" s="57"/>
      <c r="H186" s="58"/>
      <c r="I186" s="58"/>
      <c r="J186" s="58"/>
      <c r="K186" s="58"/>
      <c r="L186" s="57"/>
      <c r="M186" s="57"/>
      <c r="N186" s="57"/>
      <c r="O186" s="57"/>
      <c r="P186" s="58"/>
      <c r="Q186" s="58"/>
      <c r="R186" s="58"/>
      <c r="S186" s="58"/>
      <c r="T186" s="59"/>
      <c r="U186" s="59"/>
      <c r="V186" s="136"/>
      <c r="W186" s="136"/>
    </row>
    <row r="187" spans="1:23" ht="18" customHeight="1" x14ac:dyDescent="0.25">
      <c r="A187" s="55" t="s">
        <v>303</v>
      </c>
      <c r="B187" s="62" t="s">
        <v>299</v>
      </c>
      <c r="C187" s="45">
        <v>184</v>
      </c>
      <c r="D187" s="57"/>
      <c r="E187" s="57"/>
      <c r="F187" s="57"/>
      <c r="G187" s="57"/>
      <c r="H187" s="58"/>
      <c r="I187" s="58"/>
      <c r="J187" s="58"/>
      <c r="K187" s="58"/>
      <c r="L187" s="57"/>
      <c r="M187" s="57"/>
      <c r="N187" s="57"/>
      <c r="O187" s="57"/>
      <c r="P187" s="58"/>
      <c r="Q187" s="58"/>
      <c r="R187" s="58"/>
      <c r="S187" s="58"/>
      <c r="T187" s="59"/>
      <c r="U187" s="59"/>
      <c r="V187" s="136"/>
      <c r="W187" s="136"/>
    </row>
    <row r="188" spans="1:23" ht="18" customHeight="1" x14ac:dyDescent="0.25">
      <c r="A188" s="55" t="s">
        <v>303</v>
      </c>
      <c r="B188" s="62" t="s">
        <v>298</v>
      </c>
      <c r="C188" s="45">
        <v>185</v>
      </c>
      <c r="D188" s="57"/>
      <c r="E188" s="57"/>
      <c r="F188" s="57"/>
      <c r="G188" s="57"/>
      <c r="H188" s="58"/>
      <c r="I188" s="58"/>
      <c r="J188" s="58"/>
      <c r="K188" s="58"/>
      <c r="L188" s="57"/>
      <c r="M188" s="57"/>
      <c r="N188" s="57"/>
      <c r="O188" s="57"/>
      <c r="P188" s="58"/>
      <c r="Q188" s="58"/>
      <c r="R188" s="58"/>
      <c r="S188" s="58"/>
      <c r="T188" s="59"/>
      <c r="U188" s="59"/>
      <c r="V188" s="136"/>
      <c r="W188" s="136"/>
    </row>
    <row r="189" spans="1:23" ht="18" customHeight="1" x14ac:dyDescent="0.25">
      <c r="A189" s="55" t="s">
        <v>303</v>
      </c>
      <c r="B189" s="62" t="s">
        <v>297</v>
      </c>
      <c r="C189" s="45">
        <v>186</v>
      </c>
      <c r="D189" s="57"/>
      <c r="E189" s="57"/>
      <c r="F189" s="57"/>
      <c r="G189" s="57"/>
      <c r="H189" s="58"/>
      <c r="I189" s="58"/>
      <c r="J189" s="58"/>
      <c r="K189" s="58"/>
      <c r="L189" s="57"/>
      <c r="M189" s="57"/>
      <c r="N189" s="57"/>
      <c r="O189" s="57"/>
      <c r="P189" s="58"/>
      <c r="Q189" s="58"/>
      <c r="R189" s="58"/>
      <c r="S189" s="58"/>
      <c r="T189" s="59"/>
      <c r="U189" s="59"/>
      <c r="V189" s="136"/>
      <c r="W189" s="136"/>
    </row>
    <row r="190" spans="1:23" ht="18" customHeight="1" x14ac:dyDescent="0.25">
      <c r="A190" s="49" t="s">
        <v>296</v>
      </c>
      <c r="B190" s="50"/>
      <c r="C190" s="45">
        <v>187</v>
      </c>
      <c r="D190" s="51">
        <f>SUM(D191:D194)</f>
        <v>0</v>
      </c>
      <c r="E190" s="51">
        <f t="shared" ref="E190:U190" si="32">SUM(E191:E194)</f>
        <v>0</v>
      </c>
      <c r="F190" s="51">
        <f t="shared" si="32"/>
        <v>0</v>
      </c>
      <c r="G190" s="51">
        <f t="shared" si="32"/>
        <v>0</v>
      </c>
      <c r="H190" s="53">
        <f t="shared" si="32"/>
        <v>120</v>
      </c>
      <c r="I190" s="53">
        <f t="shared" si="32"/>
        <v>50</v>
      </c>
      <c r="J190" s="53">
        <f t="shared" si="32"/>
        <v>64</v>
      </c>
      <c r="K190" s="53">
        <f t="shared" si="32"/>
        <v>59</v>
      </c>
      <c r="L190" s="51">
        <f t="shared" si="32"/>
        <v>0</v>
      </c>
      <c r="M190" s="51">
        <f t="shared" si="32"/>
        <v>0</v>
      </c>
      <c r="N190" s="51">
        <f t="shared" si="32"/>
        <v>0</v>
      </c>
      <c r="O190" s="51">
        <f t="shared" si="32"/>
        <v>0</v>
      </c>
      <c r="P190" s="53">
        <f t="shared" si="32"/>
        <v>0</v>
      </c>
      <c r="Q190" s="53">
        <f t="shared" si="32"/>
        <v>0</v>
      </c>
      <c r="R190" s="53">
        <f t="shared" si="32"/>
        <v>0</v>
      </c>
      <c r="S190" s="53">
        <f t="shared" si="32"/>
        <v>0</v>
      </c>
      <c r="T190" s="54">
        <f t="shared" si="32"/>
        <v>14</v>
      </c>
      <c r="U190" s="54">
        <f t="shared" si="32"/>
        <v>14</v>
      </c>
      <c r="V190" s="135">
        <f t="shared" ref="V190:W190" si="33">SUM(V191:V194)</f>
        <v>29</v>
      </c>
      <c r="W190" s="135">
        <f t="shared" si="33"/>
        <v>7</v>
      </c>
    </row>
    <row r="191" spans="1:23" ht="18" customHeight="1" x14ac:dyDescent="0.25">
      <c r="A191" s="55" t="s">
        <v>296</v>
      </c>
      <c r="B191" s="61" t="s">
        <v>295</v>
      </c>
      <c r="C191" s="45">
        <v>188</v>
      </c>
      <c r="D191" s="57"/>
      <c r="E191" s="57"/>
      <c r="F191" s="57"/>
      <c r="G191" s="57"/>
      <c r="H191" s="58"/>
      <c r="I191" s="58"/>
      <c r="J191" s="58"/>
      <c r="K191" s="58"/>
      <c r="L191" s="57"/>
      <c r="M191" s="57"/>
      <c r="N191" s="57"/>
      <c r="O191" s="57"/>
      <c r="P191" s="58"/>
      <c r="Q191" s="58"/>
      <c r="R191" s="58"/>
      <c r="S191" s="58"/>
      <c r="T191" s="59"/>
      <c r="U191" s="59"/>
      <c r="V191" s="136"/>
      <c r="W191" s="136"/>
    </row>
    <row r="192" spans="1:23" ht="18" customHeight="1" x14ac:dyDescent="0.25">
      <c r="A192" s="55" t="s">
        <v>296</v>
      </c>
      <c r="B192" s="62" t="s">
        <v>294</v>
      </c>
      <c r="C192" s="45">
        <v>189</v>
      </c>
      <c r="D192" s="57"/>
      <c r="E192" s="57"/>
      <c r="F192" s="57"/>
      <c r="G192" s="57"/>
      <c r="H192" s="58"/>
      <c r="I192" s="58"/>
      <c r="J192" s="58"/>
      <c r="K192" s="58"/>
      <c r="L192" s="57"/>
      <c r="M192" s="57"/>
      <c r="N192" s="57"/>
      <c r="O192" s="57"/>
      <c r="P192" s="58"/>
      <c r="Q192" s="58"/>
      <c r="R192" s="58"/>
      <c r="S192" s="58"/>
      <c r="T192" s="59"/>
      <c r="U192" s="59"/>
      <c r="V192" s="136"/>
      <c r="W192" s="136"/>
    </row>
    <row r="193" spans="1:23" ht="18" customHeight="1" x14ac:dyDescent="0.25">
      <c r="A193" s="55" t="s">
        <v>296</v>
      </c>
      <c r="B193" s="62" t="s">
        <v>293</v>
      </c>
      <c r="C193" s="45">
        <v>190</v>
      </c>
      <c r="D193" s="57"/>
      <c r="E193" s="57"/>
      <c r="F193" s="57"/>
      <c r="G193" s="57"/>
      <c r="H193" s="58">
        <v>120</v>
      </c>
      <c r="I193" s="58">
        <v>50</v>
      </c>
      <c r="J193" s="58">
        <v>64</v>
      </c>
      <c r="K193" s="58">
        <v>59</v>
      </c>
      <c r="L193" s="57"/>
      <c r="M193" s="57"/>
      <c r="N193" s="57"/>
      <c r="O193" s="57"/>
      <c r="P193" s="58"/>
      <c r="Q193" s="58"/>
      <c r="R193" s="58"/>
      <c r="S193" s="58"/>
      <c r="T193" s="59">
        <v>14</v>
      </c>
      <c r="U193" s="59">
        <v>14</v>
      </c>
      <c r="V193" s="136">
        <v>29</v>
      </c>
      <c r="W193" s="136">
        <v>7</v>
      </c>
    </row>
    <row r="194" spans="1:23" ht="18" customHeight="1" x14ac:dyDescent="0.25">
      <c r="A194" s="55" t="s">
        <v>296</v>
      </c>
      <c r="B194" s="62" t="s">
        <v>292</v>
      </c>
      <c r="C194" s="45">
        <v>191</v>
      </c>
      <c r="D194" s="57"/>
      <c r="E194" s="57"/>
      <c r="F194" s="57"/>
      <c r="G194" s="57"/>
      <c r="H194" s="58"/>
      <c r="I194" s="58"/>
      <c r="J194" s="58"/>
      <c r="K194" s="58"/>
      <c r="L194" s="57"/>
      <c r="M194" s="57"/>
      <c r="N194" s="57"/>
      <c r="O194" s="57"/>
      <c r="P194" s="58"/>
      <c r="Q194" s="58"/>
      <c r="R194" s="58"/>
      <c r="S194" s="58"/>
      <c r="T194" s="59"/>
      <c r="U194" s="59"/>
      <c r="V194" s="136"/>
      <c r="W194" s="136"/>
    </row>
    <row r="195" spans="1:23" ht="18" customHeight="1" x14ac:dyDescent="0.25">
      <c r="A195" s="49" t="s">
        <v>291</v>
      </c>
      <c r="B195" s="50"/>
      <c r="C195" s="45">
        <v>192</v>
      </c>
      <c r="D195" s="51">
        <f>SUM(D196:D205)</f>
        <v>0</v>
      </c>
      <c r="E195" s="51">
        <f t="shared" ref="E195:U195" si="34">SUM(E196:E205)</f>
        <v>0</v>
      </c>
      <c r="F195" s="51">
        <f t="shared" si="34"/>
        <v>0</v>
      </c>
      <c r="G195" s="51">
        <f t="shared" si="34"/>
        <v>0</v>
      </c>
      <c r="H195" s="53">
        <f t="shared" si="34"/>
        <v>113</v>
      </c>
      <c r="I195" s="53">
        <f t="shared" si="34"/>
        <v>42</v>
      </c>
      <c r="J195" s="53">
        <f t="shared" si="34"/>
        <v>51</v>
      </c>
      <c r="K195" s="53">
        <f t="shared" si="34"/>
        <v>21</v>
      </c>
      <c r="L195" s="51">
        <f t="shared" si="34"/>
        <v>0</v>
      </c>
      <c r="M195" s="51">
        <f t="shared" si="34"/>
        <v>0</v>
      </c>
      <c r="N195" s="51">
        <f t="shared" si="34"/>
        <v>0</v>
      </c>
      <c r="O195" s="51">
        <f t="shared" si="34"/>
        <v>0</v>
      </c>
      <c r="P195" s="53">
        <f t="shared" si="34"/>
        <v>0</v>
      </c>
      <c r="Q195" s="53">
        <f t="shared" si="34"/>
        <v>0</v>
      </c>
      <c r="R195" s="53">
        <f t="shared" si="34"/>
        <v>0</v>
      </c>
      <c r="S195" s="53">
        <f t="shared" si="34"/>
        <v>0</v>
      </c>
      <c r="T195" s="54">
        <f t="shared" si="34"/>
        <v>5</v>
      </c>
      <c r="U195" s="54">
        <f t="shared" si="34"/>
        <v>0</v>
      </c>
      <c r="V195" s="135">
        <f t="shared" ref="V195:W195" si="35">SUM(V196:V205)</f>
        <v>0</v>
      </c>
      <c r="W195" s="135">
        <f t="shared" si="35"/>
        <v>0</v>
      </c>
    </row>
    <row r="196" spans="1:23" ht="18" customHeight="1" x14ac:dyDescent="0.25">
      <c r="A196" s="55" t="s">
        <v>291</v>
      </c>
      <c r="B196" s="62" t="s">
        <v>290</v>
      </c>
      <c r="C196" s="45">
        <v>193</v>
      </c>
      <c r="D196" s="57"/>
      <c r="E196" s="57"/>
      <c r="F196" s="57"/>
      <c r="G196" s="57"/>
      <c r="H196" s="58">
        <v>99</v>
      </c>
      <c r="I196" s="58">
        <v>34</v>
      </c>
      <c r="J196" s="58">
        <v>43</v>
      </c>
      <c r="K196" s="58">
        <v>18</v>
      </c>
      <c r="L196" s="57"/>
      <c r="M196" s="57"/>
      <c r="N196" s="57"/>
      <c r="O196" s="57"/>
      <c r="P196" s="58"/>
      <c r="Q196" s="58"/>
      <c r="R196" s="58"/>
      <c r="S196" s="58"/>
      <c r="T196" s="59">
        <v>5</v>
      </c>
      <c r="U196" s="59"/>
      <c r="V196" s="136"/>
      <c r="W196" s="136"/>
    </row>
    <row r="197" spans="1:23" ht="18" customHeight="1" x14ac:dyDescent="0.25">
      <c r="A197" s="55" t="s">
        <v>291</v>
      </c>
      <c r="B197" s="62" t="s">
        <v>289</v>
      </c>
      <c r="C197" s="45">
        <v>194</v>
      </c>
      <c r="D197" s="57"/>
      <c r="E197" s="57"/>
      <c r="F197" s="57"/>
      <c r="G197" s="57"/>
      <c r="H197" s="58">
        <v>13</v>
      </c>
      <c r="I197" s="58">
        <v>8</v>
      </c>
      <c r="J197" s="58">
        <v>8</v>
      </c>
      <c r="K197" s="58">
        <v>1</v>
      </c>
      <c r="L197" s="57"/>
      <c r="M197" s="57"/>
      <c r="N197" s="57"/>
      <c r="O197" s="57"/>
      <c r="P197" s="58"/>
      <c r="Q197" s="58"/>
      <c r="R197" s="58"/>
      <c r="S197" s="58"/>
      <c r="T197" s="59"/>
      <c r="U197" s="59"/>
      <c r="V197" s="136"/>
      <c r="W197" s="136"/>
    </row>
    <row r="198" spans="1:23" ht="18" customHeight="1" x14ac:dyDescent="0.25">
      <c r="A198" s="55" t="s">
        <v>291</v>
      </c>
      <c r="B198" s="62" t="s">
        <v>288</v>
      </c>
      <c r="C198" s="45">
        <v>195</v>
      </c>
      <c r="D198" s="57"/>
      <c r="E198" s="57"/>
      <c r="F198" s="57"/>
      <c r="G198" s="57"/>
      <c r="H198" s="58"/>
      <c r="I198" s="58"/>
      <c r="J198" s="58"/>
      <c r="K198" s="58">
        <v>1</v>
      </c>
      <c r="L198" s="57"/>
      <c r="M198" s="57"/>
      <c r="N198" s="57"/>
      <c r="O198" s="57"/>
      <c r="P198" s="58"/>
      <c r="Q198" s="58"/>
      <c r="R198" s="58"/>
      <c r="S198" s="58"/>
      <c r="T198" s="59"/>
      <c r="U198" s="59"/>
      <c r="V198" s="136"/>
      <c r="W198" s="136"/>
    </row>
    <row r="199" spans="1:23" ht="18" customHeight="1" x14ac:dyDescent="0.25">
      <c r="A199" s="55" t="s">
        <v>291</v>
      </c>
      <c r="B199" s="62" t="s">
        <v>287</v>
      </c>
      <c r="C199" s="45">
        <v>196</v>
      </c>
      <c r="D199" s="57"/>
      <c r="E199" s="57"/>
      <c r="F199" s="57"/>
      <c r="G199" s="57"/>
      <c r="H199" s="58"/>
      <c r="I199" s="58"/>
      <c r="J199" s="58"/>
      <c r="K199" s="58"/>
      <c r="L199" s="57"/>
      <c r="M199" s="57"/>
      <c r="N199" s="57"/>
      <c r="O199" s="57"/>
      <c r="P199" s="58"/>
      <c r="Q199" s="58"/>
      <c r="R199" s="58"/>
      <c r="S199" s="58"/>
      <c r="T199" s="59"/>
      <c r="U199" s="59"/>
      <c r="V199" s="136"/>
      <c r="W199" s="136"/>
    </row>
    <row r="200" spans="1:23" ht="18" customHeight="1" x14ac:dyDescent="0.25">
      <c r="A200" s="55" t="s">
        <v>291</v>
      </c>
      <c r="B200" s="62" t="s">
        <v>286</v>
      </c>
      <c r="C200" s="45">
        <v>197</v>
      </c>
      <c r="D200" s="57"/>
      <c r="E200" s="57"/>
      <c r="F200" s="57"/>
      <c r="G200" s="57"/>
      <c r="H200" s="58"/>
      <c r="I200" s="58"/>
      <c r="J200" s="58"/>
      <c r="K200" s="58"/>
      <c r="L200" s="57"/>
      <c r="M200" s="57"/>
      <c r="N200" s="57"/>
      <c r="O200" s="57"/>
      <c r="P200" s="58"/>
      <c r="Q200" s="58"/>
      <c r="R200" s="58"/>
      <c r="S200" s="58"/>
      <c r="T200" s="59"/>
      <c r="U200" s="59"/>
      <c r="V200" s="136"/>
      <c r="W200" s="136"/>
    </row>
    <row r="201" spans="1:23" ht="18" customHeight="1" x14ac:dyDescent="0.25">
      <c r="A201" s="55" t="s">
        <v>291</v>
      </c>
      <c r="B201" s="62" t="s">
        <v>285</v>
      </c>
      <c r="C201" s="45">
        <v>198</v>
      </c>
      <c r="D201" s="57"/>
      <c r="E201" s="57"/>
      <c r="F201" s="57"/>
      <c r="G201" s="57"/>
      <c r="H201" s="58"/>
      <c r="I201" s="58"/>
      <c r="J201" s="58"/>
      <c r="K201" s="58"/>
      <c r="L201" s="57"/>
      <c r="M201" s="57"/>
      <c r="N201" s="57"/>
      <c r="O201" s="57"/>
      <c r="P201" s="58"/>
      <c r="Q201" s="58"/>
      <c r="R201" s="58"/>
      <c r="S201" s="58"/>
      <c r="T201" s="59"/>
      <c r="U201" s="59"/>
      <c r="V201" s="136"/>
      <c r="W201" s="136"/>
    </row>
    <row r="202" spans="1:23" ht="18" customHeight="1" x14ac:dyDescent="0.25">
      <c r="A202" s="55" t="s">
        <v>291</v>
      </c>
      <c r="B202" s="62" t="s">
        <v>284</v>
      </c>
      <c r="C202" s="45">
        <v>199</v>
      </c>
      <c r="D202" s="57"/>
      <c r="E202" s="57"/>
      <c r="F202" s="57"/>
      <c r="G202" s="57"/>
      <c r="H202" s="58"/>
      <c r="I202" s="58"/>
      <c r="J202" s="58"/>
      <c r="K202" s="58"/>
      <c r="L202" s="57"/>
      <c r="M202" s="57"/>
      <c r="N202" s="57"/>
      <c r="O202" s="57"/>
      <c r="P202" s="58"/>
      <c r="Q202" s="58"/>
      <c r="R202" s="58"/>
      <c r="S202" s="58"/>
      <c r="T202" s="59"/>
      <c r="U202" s="59"/>
      <c r="V202" s="136"/>
      <c r="W202" s="136"/>
    </row>
    <row r="203" spans="1:23" ht="18" customHeight="1" x14ac:dyDescent="0.25">
      <c r="A203" s="55" t="s">
        <v>291</v>
      </c>
      <c r="B203" s="62" t="s">
        <v>283</v>
      </c>
      <c r="C203" s="45">
        <v>200</v>
      </c>
      <c r="D203" s="57"/>
      <c r="E203" s="57"/>
      <c r="F203" s="57"/>
      <c r="G203" s="57"/>
      <c r="H203" s="58"/>
      <c r="I203" s="58"/>
      <c r="J203" s="58"/>
      <c r="K203" s="58"/>
      <c r="L203" s="57"/>
      <c r="M203" s="57"/>
      <c r="N203" s="57"/>
      <c r="O203" s="57"/>
      <c r="P203" s="58"/>
      <c r="Q203" s="58"/>
      <c r="R203" s="58"/>
      <c r="S203" s="58"/>
      <c r="T203" s="59"/>
      <c r="U203" s="59"/>
      <c r="V203" s="136"/>
      <c r="W203" s="136"/>
    </row>
    <row r="204" spans="1:23" ht="18" customHeight="1" x14ac:dyDescent="0.25">
      <c r="A204" s="55" t="s">
        <v>291</v>
      </c>
      <c r="B204" s="62" t="s">
        <v>282</v>
      </c>
      <c r="C204" s="45">
        <v>201</v>
      </c>
      <c r="D204" s="57"/>
      <c r="E204" s="57"/>
      <c r="F204" s="57"/>
      <c r="G204" s="57"/>
      <c r="H204" s="58">
        <v>1</v>
      </c>
      <c r="I204" s="58"/>
      <c r="J204" s="58"/>
      <c r="K204" s="58">
        <v>1</v>
      </c>
      <c r="L204" s="57"/>
      <c r="M204" s="57"/>
      <c r="N204" s="57"/>
      <c r="O204" s="57"/>
      <c r="P204" s="58"/>
      <c r="Q204" s="58"/>
      <c r="R204" s="58"/>
      <c r="S204" s="58"/>
      <c r="T204" s="59"/>
      <c r="U204" s="59"/>
      <c r="V204" s="136"/>
      <c r="W204" s="136"/>
    </row>
    <row r="205" spans="1:23" ht="18" customHeight="1" x14ac:dyDescent="0.25">
      <c r="A205" s="55" t="s">
        <v>291</v>
      </c>
      <c r="B205" s="62" t="s">
        <v>281</v>
      </c>
      <c r="C205" s="45">
        <v>202</v>
      </c>
      <c r="D205" s="57"/>
      <c r="E205" s="57"/>
      <c r="F205" s="57"/>
      <c r="G205" s="57"/>
      <c r="H205" s="58"/>
      <c r="I205" s="58"/>
      <c r="J205" s="58"/>
      <c r="K205" s="58"/>
      <c r="L205" s="57"/>
      <c r="M205" s="57"/>
      <c r="N205" s="57"/>
      <c r="O205" s="57"/>
      <c r="P205" s="58"/>
      <c r="Q205" s="58"/>
      <c r="R205" s="58"/>
      <c r="S205" s="58"/>
      <c r="T205" s="59"/>
      <c r="U205" s="59"/>
      <c r="V205" s="136"/>
      <c r="W205" s="136"/>
    </row>
    <row r="206" spans="1:23" ht="18" customHeight="1" x14ac:dyDescent="0.25">
      <c r="A206" s="49" t="s">
        <v>280</v>
      </c>
      <c r="B206" s="50"/>
      <c r="C206" s="45">
        <v>203</v>
      </c>
      <c r="D206" s="51">
        <f t="shared" ref="D206:W206" si="36">SUM(D207:D213)</f>
        <v>0</v>
      </c>
      <c r="E206" s="51">
        <f t="shared" si="36"/>
        <v>0</v>
      </c>
      <c r="F206" s="51">
        <f t="shared" si="36"/>
        <v>0</v>
      </c>
      <c r="G206" s="51">
        <f t="shared" si="36"/>
        <v>0</v>
      </c>
      <c r="H206" s="53">
        <f t="shared" si="36"/>
        <v>5</v>
      </c>
      <c r="I206" s="53">
        <f t="shared" si="36"/>
        <v>1</v>
      </c>
      <c r="J206" s="53">
        <f t="shared" si="36"/>
        <v>2</v>
      </c>
      <c r="K206" s="53">
        <f t="shared" si="36"/>
        <v>1</v>
      </c>
      <c r="L206" s="51">
        <f t="shared" si="36"/>
        <v>0</v>
      </c>
      <c r="M206" s="51">
        <f t="shared" si="36"/>
        <v>0</v>
      </c>
      <c r="N206" s="51">
        <f t="shared" si="36"/>
        <v>0</v>
      </c>
      <c r="O206" s="51">
        <f t="shared" si="36"/>
        <v>0</v>
      </c>
      <c r="P206" s="53">
        <f t="shared" si="36"/>
        <v>0</v>
      </c>
      <c r="Q206" s="53">
        <f t="shared" si="36"/>
        <v>0</v>
      </c>
      <c r="R206" s="53">
        <f t="shared" si="36"/>
        <v>0</v>
      </c>
      <c r="S206" s="53">
        <f t="shared" si="36"/>
        <v>0</v>
      </c>
      <c r="T206" s="54">
        <f t="shared" si="36"/>
        <v>2</v>
      </c>
      <c r="U206" s="54">
        <f t="shared" si="36"/>
        <v>0</v>
      </c>
      <c r="V206" s="135">
        <f t="shared" si="36"/>
        <v>0</v>
      </c>
      <c r="W206" s="135">
        <f t="shared" si="36"/>
        <v>1</v>
      </c>
    </row>
    <row r="207" spans="1:23" ht="18" customHeight="1" x14ac:dyDescent="0.25">
      <c r="A207" s="55" t="s">
        <v>280</v>
      </c>
      <c r="B207" s="62" t="s">
        <v>279</v>
      </c>
      <c r="C207" s="45">
        <v>204</v>
      </c>
      <c r="D207" s="57"/>
      <c r="E207" s="57"/>
      <c r="F207" s="57"/>
      <c r="G207" s="57"/>
      <c r="H207" s="58">
        <v>2</v>
      </c>
      <c r="I207" s="58">
        <v>1</v>
      </c>
      <c r="J207" s="58">
        <v>2</v>
      </c>
      <c r="K207" s="58"/>
      <c r="L207" s="57"/>
      <c r="M207" s="57"/>
      <c r="N207" s="57"/>
      <c r="O207" s="57"/>
      <c r="P207" s="58"/>
      <c r="Q207" s="58"/>
      <c r="R207" s="58"/>
      <c r="S207" s="58"/>
      <c r="T207" s="59">
        <v>2</v>
      </c>
      <c r="U207" s="59"/>
      <c r="V207" s="136"/>
      <c r="W207" s="136"/>
    </row>
    <row r="208" spans="1:23" ht="18" customHeight="1" x14ac:dyDescent="0.25">
      <c r="A208" s="55"/>
      <c r="B208" s="62" t="s">
        <v>934</v>
      </c>
      <c r="C208" s="45">
        <v>205</v>
      </c>
      <c r="D208" s="57"/>
      <c r="E208" s="57"/>
      <c r="F208" s="57"/>
      <c r="G208" s="57"/>
      <c r="H208" s="58"/>
      <c r="I208" s="58"/>
      <c r="J208" s="58"/>
      <c r="K208" s="58"/>
      <c r="L208" s="57"/>
      <c r="M208" s="57"/>
      <c r="N208" s="57"/>
      <c r="O208" s="57"/>
      <c r="P208" s="58"/>
      <c r="Q208" s="58"/>
      <c r="R208" s="58"/>
      <c r="S208" s="58"/>
      <c r="T208" s="59"/>
      <c r="U208" s="59"/>
      <c r="V208" s="136"/>
      <c r="W208" s="136"/>
    </row>
    <row r="209" spans="1:23" ht="18" customHeight="1" x14ac:dyDescent="0.25">
      <c r="A209" s="55" t="s">
        <v>280</v>
      </c>
      <c r="B209" s="62" t="s">
        <v>278</v>
      </c>
      <c r="C209" s="45">
        <v>206</v>
      </c>
      <c r="D209" s="57"/>
      <c r="E209" s="57"/>
      <c r="F209" s="57"/>
      <c r="G209" s="57"/>
      <c r="H209" s="58"/>
      <c r="I209" s="58"/>
      <c r="J209" s="58"/>
      <c r="K209" s="58"/>
      <c r="L209" s="57"/>
      <c r="M209" s="57"/>
      <c r="N209" s="57"/>
      <c r="O209" s="57"/>
      <c r="P209" s="58"/>
      <c r="Q209" s="58"/>
      <c r="R209" s="58"/>
      <c r="S209" s="58"/>
      <c r="T209" s="59"/>
      <c r="U209" s="59"/>
      <c r="V209" s="136"/>
      <c r="W209" s="136"/>
    </row>
    <row r="210" spans="1:23" ht="18" customHeight="1" x14ac:dyDescent="0.25">
      <c r="A210" s="55" t="s">
        <v>280</v>
      </c>
      <c r="B210" s="62" t="s">
        <v>277</v>
      </c>
      <c r="C210" s="45">
        <v>207</v>
      </c>
      <c r="D210" s="57"/>
      <c r="E210" s="57"/>
      <c r="F210" s="57"/>
      <c r="G210" s="57"/>
      <c r="H210" s="58"/>
      <c r="I210" s="58"/>
      <c r="J210" s="58"/>
      <c r="K210" s="58"/>
      <c r="L210" s="57"/>
      <c r="M210" s="57"/>
      <c r="N210" s="57"/>
      <c r="O210" s="57"/>
      <c r="P210" s="58"/>
      <c r="Q210" s="58"/>
      <c r="R210" s="58"/>
      <c r="S210" s="58"/>
      <c r="T210" s="59"/>
      <c r="U210" s="59"/>
      <c r="V210" s="136"/>
      <c r="W210" s="136"/>
    </row>
    <row r="211" spans="1:23" ht="18" customHeight="1" x14ac:dyDescent="0.25">
      <c r="A211" s="55" t="s">
        <v>280</v>
      </c>
      <c r="B211" s="62" t="s">
        <v>276</v>
      </c>
      <c r="C211" s="45">
        <v>208</v>
      </c>
      <c r="D211" s="57"/>
      <c r="E211" s="57"/>
      <c r="F211" s="57"/>
      <c r="G211" s="57"/>
      <c r="H211" s="58"/>
      <c r="I211" s="58"/>
      <c r="J211" s="58"/>
      <c r="K211" s="58"/>
      <c r="L211" s="57"/>
      <c r="M211" s="57"/>
      <c r="N211" s="57"/>
      <c r="O211" s="57"/>
      <c r="P211" s="58"/>
      <c r="Q211" s="58"/>
      <c r="R211" s="58"/>
      <c r="S211" s="58"/>
      <c r="T211" s="59"/>
      <c r="U211" s="59"/>
      <c r="V211" s="136"/>
      <c r="W211" s="136"/>
    </row>
    <row r="212" spans="1:23" ht="18" customHeight="1" x14ac:dyDescent="0.25">
      <c r="A212" s="55" t="s">
        <v>280</v>
      </c>
      <c r="B212" s="62" t="s">
        <v>275</v>
      </c>
      <c r="C212" s="45">
        <v>209</v>
      </c>
      <c r="D212" s="57"/>
      <c r="E212" s="57"/>
      <c r="F212" s="57"/>
      <c r="G212" s="57"/>
      <c r="H212" s="58"/>
      <c r="I212" s="58"/>
      <c r="J212" s="58"/>
      <c r="K212" s="58"/>
      <c r="L212" s="57"/>
      <c r="M212" s="57"/>
      <c r="N212" s="57"/>
      <c r="O212" s="57"/>
      <c r="P212" s="58"/>
      <c r="Q212" s="58"/>
      <c r="R212" s="58"/>
      <c r="S212" s="58"/>
      <c r="T212" s="59"/>
      <c r="U212" s="59"/>
      <c r="V212" s="136"/>
      <c r="W212" s="136"/>
    </row>
    <row r="213" spans="1:23" ht="18" customHeight="1" x14ac:dyDescent="0.25">
      <c r="A213" s="55" t="s">
        <v>280</v>
      </c>
      <c r="B213" s="62" t="s">
        <v>274</v>
      </c>
      <c r="C213" s="45">
        <v>210</v>
      </c>
      <c r="D213" s="57"/>
      <c r="E213" s="57"/>
      <c r="F213" s="57"/>
      <c r="G213" s="57"/>
      <c r="H213" s="58">
        <v>3</v>
      </c>
      <c r="I213" s="58"/>
      <c r="J213" s="58"/>
      <c r="K213" s="58">
        <v>1</v>
      </c>
      <c r="L213" s="57"/>
      <c r="M213" s="57"/>
      <c r="N213" s="57"/>
      <c r="O213" s="57"/>
      <c r="P213" s="58"/>
      <c r="Q213" s="58"/>
      <c r="R213" s="58"/>
      <c r="S213" s="58"/>
      <c r="T213" s="59"/>
      <c r="U213" s="59"/>
      <c r="V213" s="136"/>
      <c r="W213" s="136">
        <v>1</v>
      </c>
    </row>
    <row r="214" spans="1:23" ht="18" customHeight="1" x14ac:dyDescent="0.25">
      <c r="A214" s="49" t="s">
        <v>273</v>
      </c>
      <c r="B214" s="50"/>
      <c r="C214" s="45">
        <v>211</v>
      </c>
      <c r="D214" s="51">
        <f>SUM(D215:D227)</f>
        <v>0</v>
      </c>
      <c r="E214" s="51">
        <f t="shared" ref="E214:U214" si="37">SUM(E215:E227)</f>
        <v>0</v>
      </c>
      <c r="F214" s="51">
        <f t="shared" si="37"/>
        <v>0</v>
      </c>
      <c r="G214" s="51">
        <f t="shared" si="37"/>
        <v>0</v>
      </c>
      <c r="H214" s="53">
        <f t="shared" si="37"/>
        <v>0</v>
      </c>
      <c r="I214" s="53">
        <f t="shared" si="37"/>
        <v>0</v>
      </c>
      <c r="J214" s="53">
        <f t="shared" si="37"/>
        <v>0</v>
      </c>
      <c r="K214" s="53">
        <f t="shared" si="37"/>
        <v>0</v>
      </c>
      <c r="L214" s="51">
        <f t="shared" si="37"/>
        <v>0</v>
      </c>
      <c r="M214" s="51">
        <f t="shared" si="37"/>
        <v>0</v>
      </c>
      <c r="N214" s="51">
        <f t="shared" si="37"/>
        <v>0</v>
      </c>
      <c r="O214" s="51">
        <f t="shared" si="37"/>
        <v>0</v>
      </c>
      <c r="P214" s="53">
        <f t="shared" si="37"/>
        <v>0</v>
      </c>
      <c r="Q214" s="53">
        <f t="shared" si="37"/>
        <v>0</v>
      </c>
      <c r="R214" s="53">
        <f t="shared" si="37"/>
        <v>0</v>
      </c>
      <c r="S214" s="53">
        <f t="shared" si="37"/>
        <v>0</v>
      </c>
      <c r="T214" s="54">
        <f t="shared" si="37"/>
        <v>0</v>
      </c>
      <c r="U214" s="54">
        <f t="shared" si="37"/>
        <v>0</v>
      </c>
      <c r="V214" s="135">
        <f t="shared" ref="V214:W214" si="38">SUM(V215:V227)</f>
        <v>0</v>
      </c>
      <c r="W214" s="135">
        <f t="shared" si="38"/>
        <v>0</v>
      </c>
    </row>
    <row r="215" spans="1:23" ht="18" customHeight="1" x14ac:dyDescent="0.25">
      <c r="A215" s="55" t="s">
        <v>273</v>
      </c>
      <c r="B215" s="62" t="s">
        <v>272</v>
      </c>
      <c r="C215" s="45">
        <v>212</v>
      </c>
      <c r="D215" s="57"/>
      <c r="E215" s="57"/>
      <c r="F215" s="57"/>
      <c r="G215" s="57"/>
      <c r="H215" s="58"/>
      <c r="I215" s="58"/>
      <c r="J215" s="58"/>
      <c r="K215" s="58"/>
      <c r="L215" s="57"/>
      <c r="M215" s="57"/>
      <c r="N215" s="57"/>
      <c r="O215" s="57"/>
      <c r="P215" s="58"/>
      <c r="Q215" s="58"/>
      <c r="R215" s="58"/>
      <c r="S215" s="58"/>
      <c r="T215" s="59"/>
      <c r="U215" s="59"/>
      <c r="V215" s="136"/>
      <c r="W215" s="136"/>
    </row>
    <row r="216" spans="1:23" ht="18" customHeight="1" x14ac:dyDescent="0.25">
      <c r="A216" s="55" t="s">
        <v>273</v>
      </c>
      <c r="B216" s="62" t="s">
        <v>271</v>
      </c>
      <c r="C216" s="45">
        <v>213</v>
      </c>
      <c r="D216" s="57"/>
      <c r="E216" s="57"/>
      <c r="F216" s="57"/>
      <c r="G216" s="57"/>
      <c r="H216" s="58"/>
      <c r="I216" s="58"/>
      <c r="J216" s="58"/>
      <c r="K216" s="58"/>
      <c r="L216" s="57"/>
      <c r="M216" s="57"/>
      <c r="N216" s="57"/>
      <c r="O216" s="57"/>
      <c r="P216" s="58"/>
      <c r="Q216" s="58"/>
      <c r="R216" s="58"/>
      <c r="S216" s="58"/>
      <c r="T216" s="59"/>
      <c r="U216" s="59"/>
      <c r="V216" s="136"/>
      <c r="W216" s="136"/>
    </row>
    <row r="217" spans="1:23" ht="18" customHeight="1" x14ac:dyDescent="0.25">
      <c r="A217" s="55" t="s">
        <v>273</v>
      </c>
      <c r="B217" s="62" t="s">
        <v>270</v>
      </c>
      <c r="C217" s="45">
        <v>214</v>
      </c>
      <c r="D217" s="57"/>
      <c r="E217" s="57"/>
      <c r="F217" s="57"/>
      <c r="G217" s="57"/>
      <c r="H217" s="58"/>
      <c r="I217" s="58"/>
      <c r="J217" s="58"/>
      <c r="K217" s="58"/>
      <c r="L217" s="57"/>
      <c r="M217" s="57"/>
      <c r="N217" s="57"/>
      <c r="O217" s="57"/>
      <c r="P217" s="58"/>
      <c r="Q217" s="58"/>
      <c r="R217" s="58"/>
      <c r="S217" s="58"/>
      <c r="T217" s="59"/>
      <c r="U217" s="59"/>
      <c r="V217" s="136"/>
      <c r="W217" s="136"/>
    </row>
    <row r="218" spans="1:23" ht="18" customHeight="1" x14ac:dyDescent="0.25">
      <c r="A218" s="55" t="s">
        <v>273</v>
      </c>
      <c r="B218" s="62" t="s">
        <v>269</v>
      </c>
      <c r="C218" s="45">
        <v>215</v>
      </c>
      <c r="D218" s="57"/>
      <c r="E218" s="57"/>
      <c r="F218" s="57"/>
      <c r="G218" s="57"/>
      <c r="H218" s="58"/>
      <c r="I218" s="58"/>
      <c r="J218" s="58"/>
      <c r="K218" s="58"/>
      <c r="L218" s="57"/>
      <c r="M218" s="57"/>
      <c r="N218" s="57"/>
      <c r="O218" s="57"/>
      <c r="P218" s="58"/>
      <c r="Q218" s="58"/>
      <c r="R218" s="58"/>
      <c r="S218" s="58"/>
      <c r="T218" s="59"/>
      <c r="U218" s="59"/>
      <c r="V218" s="136"/>
      <c r="W218" s="136"/>
    </row>
    <row r="219" spans="1:23" ht="18" customHeight="1" x14ac:dyDescent="0.25">
      <c r="A219" s="55" t="s">
        <v>273</v>
      </c>
      <c r="B219" s="62" t="s">
        <v>268</v>
      </c>
      <c r="C219" s="45">
        <v>216</v>
      </c>
      <c r="D219" s="57"/>
      <c r="E219" s="57"/>
      <c r="F219" s="57"/>
      <c r="G219" s="57"/>
      <c r="H219" s="58"/>
      <c r="I219" s="58"/>
      <c r="J219" s="58"/>
      <c r="K219" s="58"/>
      <c r="L219" s="57"/>
      <c r="M219" s="57"/>
      <c r="N219" s="57"/>
      <c r="O219" s="57"/>
      <c r="P219" s="58"/>
      <c r="Q219" s="58"/>
      <c r="R219" s="58"/>
      <c r="S219" s="58"/>
      <c r="T219" s="59"/>
      <c r="U219" s="59"/>
      <c r="V219" s="136"/>
      <c r="W219" s="136"/>
    </row>
    <row r="220" spans="1:23" ht="18" customHeight="1" x14ac:dyDescent="0.25">
      <c r="A220" s="55" t="s">
        <v>273</v>
      </c>
      <c r="B220" s="62" t="s">
        <v>267</v>
      </c>
      <c r="C220" s="45">
        <v>217</v>
      </c>
      <c r="D220" s="57"/>
      <c r="E220" s="57"/>
      <c r="F220" s="57"/>
      <c r="G220" s="57"/>
      <c r="H220" s="58"/>
      <c r="I220" s="58"/>
      <c r="J220" s="58"/>
      <c r="K220" s="58"/>
      <c r="L220" s="57"/>
      <c r="M220" s="57"/>
      <c r="N220" s="57"/>
      <c r="O220" s="57"/>
      <c r="P220" s="58"/>
      <c r="Q220" s="58"/>
      <c r="R220" s="58"/>
      <c r="S220" s="58"/>
      <c r="T220" s="59"/>
      <c r="U220" s="59"/>
      <c r="V220" s="136"/>
      <c r="W220" s="136"/>
    </row>
    <row r="221" spans="1:23" ht="18" customHeight="1" x14ac:dyDescent="0.25">
      <c r="A221" s="55" t="s">
        <v>273</v>
      </c>
      <c r="B221" s="62" t="s">
        <v>266</v>
      </c>
      <c r="C221" s="45">
        <v>218</v>
      </c>
      <c r="D221" s="57"/>
      <c r="E221" s="57"/>
      <c r="F221" s="57"/>
      <c r="G221" s="57"/>
      <c r="H221" s="58"/>
      <c r="I221" s="58"/>
      <c r="J221" s="58"/>
      <c r="K221" s="58"/>
      <c r="L221" s="57"/>
      <c r="M221" s="57"/>
      <c r="N221" s="57"/>
      <c r="O221" s="57"/>
      <c r="P221" s="58"/>
      <c r="Q221" s="58"/>
      <c r="R221" s="58"/>
      <c r="S221" s="58"/>
      <c r="T221" s="59"/>
      <c r="U221" s="59"/>
      <c r="V221" s="136"/>
      <c r="W221" s="136"/>
    </row>
    <row r="222" spans="1:23" ht="18" customHeight="1" x14ac:dyDescent="0.25">
      <c r="A222" s="55" t="s">
        <v>273</v>
      </c>
      <c r="B222" s="62" t="s">
        <v>265</v>
      </c>
      <c r="C222" s="45">
        <v>219</v>
      </c>
      <c r="D222" s="57"/>
      <c r="E222" s="57"/>
      <c r="F222" s="57"/>
      <c r="G222" s="57"/>
      <c r="H222" s="58"/>
      <c r="I222" s="58"/>
      <c r="J222" s="58"/>
      <c r="K222" s="58"/>
      <c r="L222" s="57"/>
      <c r="M222" s="57"/>
      <c r="N222" s="57"/>
      <c r="O222" s="57"/>
      <c r="P222" s="58"/>
      <c r="Q222" s="58"/>
      <c r="R222" s="58"/>
      <c r="S222" s="58"/>
      <c r="T222" s="59"/>
      <c r="U222" s="59"/>
      <c r="V222" s="136"/>
      <c r="W222" s="136"/>
    </row>
    <row r="223" spans="1:23" ht="18" customHeight="1" x14ac:dyDescent="0.25">
      <c r="A223" s="55" t="s">
        <v>273</v>
      </c>
      <c r="B223" s="62" t="s">
        <v>264</v>
      </c>
      <c r="C223" s="45">
        <v>220</v>
      </c>
      <c r="D223" s="57"/>
      <c r="E223" s="57"/>
      <c r="F223" s="57"/>
      <c r="G223" s="57"/>
      <c r="H223" s="58"/>
      <c r="I223" s="58"/>
      <c r="J223" s="58"/>
      <c r="K223" s="58"/>
      <c r="L223" s="57"/>
      <c r="M223" s="57"/>
      <c r="N223" s="57"/>
      <c r="O223" s="57"/>
      <c r="P223" s="58"/>
      <c r="Q223" s="58"/>
      <c r="R223" s="58"/>
      <c r="S223" s="58"/>
      <c r="T223" s="59"/>
      <c r="U223" s="59"/>
      <c r="V223" s="136"/>
      <c r="W223" s="136"/>
    </row>
    <row r="224" spans="1:23" ht="18" customHeight="1" x14ac:dyDescent="0.25">
      <c r="A224" s="55" t="s">
        <v>273</v>
      </c>
      <c r="B224" s="62" t="s">
        <v>263</v>
      </c>
      <c r="C224" s="45">
        <v>221</v>
      </c>
      <c r="D224" s="57"/>
      <c r="E224" s="57"/>
      <c r="F224" s="57"/>
      <c r="G224" s="57"/>
      <c r="H224" s="58"/>
      <c r="I224" s="58"/>
      <c r="J224" s="58"/>
      <c r="K224" s="58"/>
      <c r="L224" s="57"/>
      <c r="M224" s="57"/>
      <c r="N224" s="57"/>
      <c r="O224" s="57"/>
      <c r="P224" s="58"/>
      <c r="Q224" s="58"/>
      <c r="R224" s="58"/>
      <c r="S224" s="58"/>
      <c r="T224" s="59"/>
      <c r="U224" s="59"/>
      <c r="V224" s="136"/>
      <c r="W224" s="136"/>
    </row>
    <row r="225" spans="1:23" ht="18" customHeight="1" x14ac:dyDescent="0.25">
      <c r="A225" s="55" t="s">
        <v>273</v>
      </c>
      <c r="B225" s="62" t="s">
        <v>262</v>
      </c>
      <c r="C225" s="45">
        <v>222</v>
      </c>
      <c r="D225" s="57"/>
      <c r="E225" s="57"/>
      <c r="F225" s="57"/>
      <c r="G225" s="57"/>
      <c r="H225" s="58"/>
      <c r="I225" s="58"/>
      <c r="J225" s="58"/>
      <c r="K225" s="58"/>
      <c r="L225" s="57"/>
      <c r="M225" s="57"/>
      <c r="N225" s="57"/>
      <c r="O225" s="57"/>
      <c r="P225" s="58"/>
      <c r="Q225" s="58"/>
      <c r="R225" s="58"/>
      <c r="S225" s="58"/>
      <c r="T225" s="59"/>
      <c r="U225" s="59"/>
      <c r="V225" s="136"/>
      <c r="W225" s="136"/>
    </row>
    <row r="226" spans="1:23" ht="18" customHeight="1" x14ac:dyDescent="0.25">
      <c r="A226" s="55" t="s">
        <v>273</v>
      </c>
      <c r="B226" s="62" t="s">
        <v>261</v>
      </c>
      <c r="C226" s="45">
        <v>223</v>
      </c>
      <c r="D226" s="57"/>
      <c r="E226" s="57"/>
      <c r="F226" s="57"/>
      <c r="G226" s="57"/>
      <c r="H226" s="58"/>
      <c r="I226" s="58"/>
      <c r="J226" s="58"/>
      <c r="K226" s="58"/>
      <c r="L226" s="57"/>
      <c r="M226" s="57"/>
      <c r="N226" s="57"/>
      <c r="O226" s="57"/>
      <c r="P226" s="58"/>
      <c r="Q226" s="58"/>
      <c r="R226" s="58"/>
      <c r="S226" s="58"/>
      <c r="T226" s="59"/>
      <c r="U226" s="59"/>
      <c r="V226" s="136"/>
      <c r="W226" s="136"/>
    </row>
    <row r="227" spans="1:23" ht="18" customHeight="1" x14ac:dyDescent="0.25">
      <c r="A227" s="55" t="s">
        <v>273</v>
      </c>
      <c r="B227" s="62" t="s">
        <v>260</v>
      </c>
      <c r="C227" s="45">
        <v>224</v>
      </c>
      <c r="D227" s="57"/>
      <c r="E227" s="57"/>
      <c r="F227" s="57"/>
      <c r="G227" s="57"/>
      <c r="H227" s="58"/>
      <c r="I227" s="58"/>
      <c r="J227" s="58"/>
      <c r="K227" s="58"/>
      <c r="L227" s="57"/>
      <c r="M227" s="57"/>
      <c r="N227" s="57"/>
      <c r="O227" s="57"/>
      <c r="P227" s="58"/>
      <c r="Q227" s="58"/>
      <c r="R227" s="58"/>
      <c r="S227" s="58"/>
      <c r="T227" s="59"/>
      <c r="U227" s="59"/>
      <c r="V227" s="136"/>
      <c r="W227" s="136"/>
    </row>
    <row r="228" spans="1:23" ht="18" customHeight="1" x14ac:dyDescent="0.25">
      <c r="A228" s="49" t="s">
        <v>259</v>
      </c>
      <c r="B228" s="50"/>
      <c r="C228" s="45">
        <v>225</v>
      </c>
      <c r="D228" s="51">
        <f>SUM(D229:D236)</f>
        <v>0</v>
      </c>
      <c r="E228" s="51">
        <f t="shared" ref="E228:U228" si="39">SUM(E229:E236)</f>
        <v>0</v>
      </c>
      <c r="F228" s="51">
        <f t="shared" si="39"/>
        <v>0</v>
      </c>
      <c r="G228" s="51">
        <f t="shared" si="39"/>
        <v>0</v>
      </c>
      <c r="H228" s="53">
        <f t="shared" si="39"/>
        <v>16</v>
      </c>
      <c r="I228" s="53">
        <f t="shared" si="39"/>
        <v>10</v>
      </c>
      <c r="J228" s="53">
        <f t="shared" si="39"/>
        <v>9</v>
      </c>
      <c r="K228" s="53">
        <f t="shared" si="39"/>
        <v>6</v>
      </c>
      <c r="L228" s="51">
        <f t="shared" si="39"/>
        <v>0</v>
      </c>
      <c r="M228" s="51">
        <f t="shared" si="39"/>
        <v>0</v>
      </c>
      <c r="N228" s="51">
        <f t="shared" si="39"/>
        <v>0</v>
      </c>
      <c r="O228" s="51">
        <f t="shared" si="39"/>
        <v>0</v>
      </c>
      <c r="P228" s="53">
        <f t="shared" si="39"/>
        <v>0</v>
      </c>
      <c r="Q228" s="53">
        <f t="shared" si="39"/>
        <v>0</v>
      </c>
      <c r="R228" s="53">
        <f t="shared" si="39"/>
        <v>0</v>
      </c>
      <c r="S228" s="53">
        <f t="shared" si="39"/>
        <v>0</v>
      </c>
      <c r="T228" s="54">
        <f t="shared" si="39"/>
        <v>1</v>
      </c>
      <c r="U228" s="54">
        <f t="shared" si="39"/>
        <v>2</v>
      </c>
      <c r="V228" s="135">
        <f t="shared" ref="V228:W228" si="40">SUM(V229:V236)</f>
        <v>6</v>
      </c>
      <c r="W228" s="135">
        <f t="shared" si="40"/>
        <v>7</v>
      </c>
    </row>
    <row r="229" spans="1:23" ht="18" customHeight="1" x14ac:dyDescent="0.25">
      <c r="A229" s="55" t="s">
        <v>259</v>
      </c>
      <c r="B229" s="61" t="s">
        <v>258</v>
      </c>
      <c r="C229" s="45">
        <v>226</v>
      </c>
      <c r="D229" s="57"/>
      <c r="E229" s="57"/>
      <c r="F229" s="57"/>
      <c r="G229" s="57"/>
      <c r="H229" s="58"/>
      <c r="I229" s="58"/>
      <c r="J229" s="58"/>
      <c r="K229" s="58"/>
      <c r="L229" s="57"/>
      <c r="M229" s="57"/>
      <c r="N229" s="57"/>
      <c r="O229" s="57"/>
      <c r="P229" s="58"/>
      <c r="Q229" s="58"/>
      <c r="R229" s="58"/>
      <c r="S229" s="58"/>
      <c r="T229" s="59"/>
      <c r="U229" s="59"/>
      <c r="V229" s="136"/>
      <c r="W229" s="136"/>
    </row>
    <row r="230" spans="1:23" ht="18" customHeight="1" x14ac:dyDescent="0.25">
      <c r="A230" s="55" t="s">
        <v>259</v>
      </c>
      <c r="B230" s="62" t="s">
        <v>257</v>
      </c>
      <c r="C230" s="45">
        <v>227</v>
      </c>
      <c r="D230" s="57"/>
      <c r="E230" s="57"/>
      <c r="F230" s="57"/>
      <c r="G230" s="57"/>
      <c r="H230" s="58">
        <v>16</v>
      </c>
      <c r="I230" s="58">
        <v>10</v>
      </c>
      <c r="J230" s="58">
        <v>9</v>
      </c>
      <c r="K230" s="58">
        <v>6</v>
      </c>
      <c r="L230" s="57"/>
      <c r="M230" s="57"/>
      <c r="N230" s="57"/>
      <c r="O230" s="57"/>
      <c r="P230" s="58"/>
      <c r="Q230" s="58"/>
      <c r="R230" s="58"/>
      <c r="S230" s="58"/>
      <c r="T230" s="59">
        <v>1</v>
      </c>
      <c r="U230" s="59">
        <v>2</v>
      </c>
      <c r="V230" s="136">
        <v>6</v>
      </c>
      <c r="W230" s="136">
        <v>7</v>
      </c>
    </row>
    <row r="231" spans="1:23" ht="18" customHeight="1" x14ac:dyDescent="0.25">
      <c r="A231" s="55" t="s">
        <v>259</v>
      </c>
      <c r="B231" s="62" t="s">
        <v>256</v>
      </c>
      <c r="C231" s="45">
        <v>228</v>
      </c>
      <c r="D231" s="57"/>
      <c r="E231" s="57"/>
      <c r="F231" s="57"/>
      <c r="G231" s="57"/>
      <c r="H231" s="58"/>
      <c r="I231" s="58"/>
      <c r="J231" s="58"/>
      <c r="K231" s="58"/>
      <c r="L231" s="57"/>
      <c r="M231" s="57"/>
      <c r="N231" s="57"/>
      <c r="O231" s="57"/>
      <c r="P231" s="58"/>
      <c r="Q231" s="58"/>
      <c r="R231" s="58"/>
      <c r="S231" s="58"/>
      <c r="T231" s="59"/>
      <c r="U231" s="59"/>
      <c r="V231" s="136"/>
      <c r="W231" s="136"/>
    </row>
    <row r="232" spans="1:23" ht="18" customHeight="1" x14ac:dyDescent="0.25">
      <c r="A232" s="55" t="s">
        <v>259</v>
      </c>
      <c r="B232" s="62" t="s">
        <v>255</v>
      </c>
      <c r="C232" s="45">
        <v>229</v>
      </c>
      <c r="D232" s="57"/>
      <c r="E232" s="57"/>
      <c r="F232" s="57"/>
      <c r="G232" s="57"/>
      <c r="H232" s="58"/>
      <c r="I232" s="58"/>
      <c r="J232" s="58"/>
      <c r="K232" s="58"/>
      <c r="L232" s="57"/>
      <c r="M232" s="57"/>
      <c r="N232" s="57"/>
      <c r="O232" s="57"/>
      <c r="P232" s="58"/>
      <c r="Q232" s="58"/>
      <c r="R232" s="58"/>
      <c r="S232" s="58"/>
      <c r="T232" s="59"/>
      <c r="U232" s="59"/>
      <c r="V232" s="136"/>
      <c r="W232" s="136"/>
    </row>
    <row r="233" spans="1:23" ht="18" customHeight="1" x14ac:dyDescent="0.25">
      <c r="A233" s="55" t="s">
        <v>259</v>
      </c>
      <c r="B233" s="62" t="s">
        <v>254</v>
      </c>
      <c r="C233" s="45">
        <v>230</v>
      </c>
      <c r="D233" s="57"/>
      <c r="E233" s="57"/>
      <c r="F233" s="57"/>
      <c r="G233" s="57"/>
      <c r="H233" s="58"/>
      <c r="I233" s="58"/>
      <c r="J233" s="58"/>
      <c r="K233" s="58"/>
      <c r="L233" s="57"/>
      <c r="M233" s="57"/>
      <c r="N233" s="57"/>
      <c r="O233" s="57"/>
      <c r="P233" s="58"/>
      <c r="Q233" s="58"/>
      <c r="R233" s="58"/>
      <c r="S233" s="58"/>
      <c r="T233" s="59"/>
      <c r="U233" s="59"/>
      <c r="V233" s="136"/>
      <c r="W233" s="136"/>
    </row>
    <row r="234" spans="1:23" ht="18" customHeight="1" x14ac:dyDescent="0.25">
      <c r="A234" s="55" t="s">
        <v>259</v>
      </c>
      <c r="B234" s="62" t="s">
        <v>253</v>
      </c>
      <c r="C234" s="45">
        <v>231</v>
      </c>
      <c r="D234" s="57"/>
      <c r="E234" s="57"/>
      <c r="F234" s="57"/>
      <c r="G234" s="57"/>
      <c r="H234" s="58"/>
      <c r="I234" s="58"/>
      <c r="J234" s="58"/>
      <c r="K234" s="58"/>
      <c r="L234" s="57"/>
      <c r="M234" s="57"/>
      <c r="N234" s="57"/>
      <c r="O234" s="57"/>
      <c r="P234" s="58"/>
      <c r="Q234" s="58"/>
      <c r="R234" s="58"/>
      <c r="S234" s="58"/>
      <c r="T234" s="59"/>
      <c r="U234" s="59"/>
      <c r="V234" s="136"/>
      <c r="W234" s="136"/>
    </row>
    <row r="235" spans="1:23" ht="18" customHeight="1" x14ac:dyDescent="0.25">
      <c r="A235" s="55" t="s">
        <v>259</v>
      </c>
      <c r="B235" s="62" t="s">
        <v>252</v>
      </c>
      <c r="C235" s="45">
        <v>232</v>
      </c>
      <c r="D235" s="57"/>
      <c r="E235" s="57"/>
      <c r="F235" s="57"/>
      <c r="G235" s="57"/>
      <c r="H235" s="58"/>
      <c r="I235" s="58"/>
      <c r="J235" s="58"/>
      <c r="K235" s="58"/>
      <c r="L235" s="57"/>
      <c r="M235" s="57"/>
      <c r="N235" s="57"/>
      <c r="O235" s="57"/>
      <c r="P235" s="58"/>
      <c r="Q235" s="58"/>
      <c r="R235" s="58"/>
      <c r="S235" s="58"/>
      <c r="T235" s="59"/>
      <c r="U235" s="59"/>
      <c r="V235" s="136"/>
      <c r="W235" s="136"/>
    </row>
    <row r="236" spans="1:23" ht="18" customHeight="1" x14ac:dyDescent="0.25">
      <c r="A236" s="55" t="s">
        <v>259</v>
      </c>
      <c r="B236" s="62" t="s">
        <v>251</v>
      </c>
      <c r="C236" s="45">
        <v>233</v>
      </c>
      <c r="D236" s="57"/>
      <c r="E236" s="57"/>
      <c r="F236" s="57"/>
      <c r="G236" s="57"/>
      <c r="H236" s="58"/>
      <c r="I236" s="58"/>
      <c r="J236" s="58"/>
      <c r="K236" s="58"/>
      <c r="L236" s="57"/>
      <c r="M236" s="57"/>
      <c r="N236" s="57"/>
      <c r="O236" s="57"/>
      <c r="P236" s="58"/>
      <c r="Q236" s="58"/>
      <c r="R236" s="58"/>
      <c r="S236" s="58"/>
      <c r="T236" s="59"/>
      <c r="U236" s="59"/>
      <c r="V236" s="136"/>
      <c r="W236" s="136"/>
    </row>
    <row r="237" spans="1:23" ht="18" customHeight="1" x14ac:dyDescent="0.25">
      <c r="A237" s="49" t="s">
        <v>250</v>
      </c>
      <c r="B237" s="50"/>
      <c r="C237" s="45">
        <v>234</v>
      </c>
      <c r="D237" s="51">
        <f>SUM(D238:D241)</f>
        <v>0</v>
      </c>
      <c r="E237" s="51">
        <f t="shared" ref="E237:U237" si="41">SUM(E238:E241)</f>
        <v>0</v>
      </c>
      <c r="F237" s="51">
        <f t="shared" si="41"/>
        <v>0</v>
      </c>
      <c r="G237" s="51">
        <f t="shared" si="41"/>
        <v>0</v>
      </c>
      <c r="H237" s="53">
        <f t="shared" si="41"/>
        <v>0</v>
      </c>
      <c r="I237" s="53">
        <f t="shared" si="41"/>
        <v>0</v>
      </c>
      <c r="J237" s="53">
        <f t="shared" si="41"/>
        <v>0</v>
      </c>
      <c r="K237" s="53">
        <f t="shared" si="41"/>
        <v>1</v>
      </c>
      <c r="L237" s="51">
        <f t="shared" si="41"/>
        <v>0</v>
      </c>
      <c r="M237" s="51">
        <f t="shared" si="41"/>
        <v>0</v>
      </c>
      <c r="N237" s="51">
        <f t="shared" si="41"/>
        <v>0</v>
      </c>
      <c r="O237" s="51">
        <f t="shared" si="41"/>
        <v>0</v>
      </c>
      <c r="P237" s="53">
        <f t="shared" si="41"/>
        <v>0</v>
      </c>
      <c r="Q237" s="53">
        <f t="shared" si="41"/>
        <v>0</v>
      </c>
      <c r="R237" s="53">
        <f t="shared" si="41"/>
        <v>0</v>
      </c>
      <c r="S237" s="53">
        <f t="shared" si="41"/>
        <v>0</v>
      </c>
      <c r="T237" s="54">
        <f t="shared" si="41"/>
        <v>0</v>
      </c>
      <c r="U237" s="54">
        <f t="shared" si="41"/>
        <v>0</v>
      </c>
      <c r="V237" s="135">
        <f t="shared" ref="V237:W237" si="42">SUM(V238:V241)</f>
        <v>0</v>
      </c>
      <c r="W237" s="135">
        <f t="shared" si="42"/>
        <v>0</v>
      </c>
    </row>
    <row r="238" spans="1:23" ht="18" customHeight="1" x14ac:dyDescent="0.25">
      <c r="A238" s="55" t="s">
        <v>250</v>
      </c>
      <c r="B238" s="62" t="s">
        <v>249</v>
      </c>
      <c r="C238" s="45">
        <v>235</v>
      </c>
      <c r="D238" s="57"/>
      <c r="E238" s="57"/>
      <c r="F238" s="57"/>
      <c r="G238" s="57"/>
      <c r="H238" s="58"/>
      <c r="I238" s="58"/>
      <c r="J238" s="58"/>
      <c r="K238" s="58"/>
      <c r="L238" s="57"/>
      <c r="M238" s="57"/>
      <c r="N238" s="57"/>
      <c r="O238" s="57"/>
      <c r="P238" s="58"/>
      <c r="Q238" s="58"/>
      <c r="R238" s="58"/>
      <c r="S238" s="58"/>
      <c r="T238" s="59"/>
      <c r="U238" s="59"/>
      <c r="V238" s="136"/>
      <c r="W238" s="136"/>
    </row>
    <row r="239" spans="1:23" ht="18" customHeight="1" x14ac:dyDescent="0.25">
      <c r="A239" s="55" t="s">
        <v>250</v>
      </c>
      <c r="B239" s="62" t="s">
        <v>248</v>
      </c>
      <c r="C239" s="45">
        <v>236</v>
      </c>
      <c r="D239" s="57"/>
      <c r="E239" s="57"/>
      <c r="F239" s="57"/>
      <c r="G239" s="57"/>
      <c r="H239" s="58"/>
      <c r="I239" s="58"/>
      <c r="J239" s="58"/>
      <c r="K239" s="58">
        <v>1</v>
      </c>
      <c r="L239" s="57"/>
      <c r="M239" s="57"/>
      <c r="N239" s="57"/>
      <c r="O239" s="57"/>
      <c r="P239" s="58"/>
      <c r="Q239" s="58"/>
      <c r="R239" s="58"/>
      <c r="S239" s="58"/>
      <c r="T239" s="59"/>
      <c r="U239" s="59"/>
      <c r="V239" s="136"/>
      <c r="W239" s="136"/>
    </row>
    <row r="240" spans="1:23" ht="18" customHeight="1" x14ac:dyDescent="0.25">
      <c r="A240" s="55" t="s">
        <v>250</v>
      </c>
      <c r="B240" s="62" t="s">
        <v>247</v>
      </c>
      <c r="C240" s="45">
        <v>237</v>
      </c>
      <c r="D240" s="57"/>
      <c r="E240" s="57"/>
      <c r="F240" s="57"/>
      <c r="G240" s="57"/>
      <c r="H240" s="58"/>
      <c r="I240" s="58"/>
      <c r="J240" s="58"/>
      <c r="K240" s="58"/>
      <c r="L240" s="57"/>
      <c r="M240" s="57"/>
      <c r="N240" s="57"/>
      <c r="O240" s="57"/>
      <c r="P240" s="58"/>
      <c r="Q240" s="58"/>
      <c r="R240" s="58"/>
      <c r="S240" s="58"/>
      <c r="T240" s="59"/>
      <c r="U240" s="59"/>
      <c r="V240" s="136"/>
      <c r="W240" s="136"/>
    </row>
    <row r="241" spans="1:23" ht="18" customHeight="1" x14ac:dyDescent="0.25">
      <c r="A241" s="55" t="s">
        <v>250</v>
      </c>
      <c r="B241" s="62" t="s">
        <v>246</v>
      </c>
      <c r="C241" s="45">
        <v>238</v>
      </c>
      <c r="D241" s="57"/>
      <c r="E241" s="57"/>
      <c r="F241" s="57"/>
      <c r="G241" s="57"/>
      <c r="H241" s="58"/>
      <c r="I241" s="58"/>
      <c r="J241" s="58"/>
      <c r="K241" s="58"/>
      <c r="L241" s="57"/>
      <c r="M241" s="57"/>
      <c r="N241" s="57"/>
      <c r="O241" s="57"/>
      <c r="P241" s="58"/>
      <c r="Q241" s="58"/>
      <c r="R241" s="58"/>
      <c r="S241" s="58"/>
      <c r="T241" s="59"/>
      <c r="U241" s="59"/>
      <c r="V241" s="136"/>
      <c r="W241" s="136"/>
    </row>
    <row r="242" spans="1:23" ht="18" customHeight="1" x14ac:dyDescent="0.25">
      <c r="A242" s="49" t="s">
        <v>245</v>
      </c>
      <c r="B242" s="50"/>
      <c r="C242" s="45">
        <v>239</v>
      </c>
      <c r="D242" s="51">
        <f t="shared" ref="D242:W242" si="43">D243+D258+D273+D279+D294+D302</f>
        <v>0</v>
      </c>
      <c r="E242" s="51">
        <f t="shared" si="43"/>
        <v>0</v>
      </c>
      <c r="F242" s="51">
        <f t="shared" si="43"/>
        <v>0</v>
      </c>
      <c r="G242" s="51">
        <f t="shared" si="43"/>
        <v>0</v>
      </c>
      <c r="H242" s="53">
        <f t="shared" si="43"/>
        <v>131</v>
      </c>
      <c r="I242" s="53">
        <f t="shared" si="43"/>
        <v>79</v>
      </c>
      <c r="J242" s="53">
        <f t="shared" si="43"/>
        <v>86</v>
      </c>
      <c r="K242" s="53">
        <f t="shared" si="43"/>
        <v>33</v>
      </c>
      <c r="L242" s="51">
        <f t="shared" si="43"/>
        <v>0</v>
      </c>
      <c r="M242" s="51">
        <f t="shared" si="43"/>
        <v>0</v>
      </c>
      <c r="N242" s="51">
        <f t="shared" si="43"/>
        <v>0</v>
      </c>
      <c r="O242" s="51">
        <f t="shared" si="43"/>
        <v>0</v>
      </c>
      <c r="P242" s="53">
        <f t="shared" si="43"/>
        <v>0</v>
      </c>
      <c r="Q242" s="53">
        <f t="shared" si="43"/>
        <v>0</v>
      </c>
      <c r="R242" s="53">
        <f t="shared" si="43"/>
        <v>0</v>
      </c>
      <c r="S242" s="53">
        <f t="shared" si="43"/>
        <v>0</v>
      </c>
      <c r="T242" s="54">
        <f t="shared" si="43"/>
        <v>21</v>
      </c>
      <c r="U242" s="54">
        <f t="shared" si="43"/>
        <v>0</v>
      </c>
      <c r="V242" s="135">
        <f t="shared" si="43"/>
        <v>4</v>
      </c>
      <c r="W242" s="135">
        <f t="shared" si="43"/>
        <v>0</v>
      </c>
    </row>
    <row r="243" spans="1:23" ht="18" customHeight="1" x14ac:dyDescent="0.25">
      <c r="A243" s="49" t="s">
        <v>244</v>
      </c>
      <c r="B243" s="50"/>
      <c r="C243" s="45">
        <v>240</v>
      </c>
      <c r="D243" s="51">
        <f t="shared" ref="D243:W243" si="44">SUM(D244:D257)</f>
        <v>0</v>
      </c>
      <c r="E243" s="51">
        <f t="shared" si="44"/>
        <v>0</v>
      </c>
      <c r="F243" s="51">
        <f t="shared" si="44"/>
        <v>0</v>
      </c>
      <c r="G243" s="51">
        <f t="shared" si="44"/>
        <v>0</v>
      </c>
      <c r="H243" s="53">
        <f t="shared" si="44"/>
        <v>51</v>
      </c>
      <c r="I243" s="53">
        <f t="shared" si="44"/>
        <v>41</v>
      </c>
      <c r="J243" s="53">
        <f t="shared" si="44"/>
        <v>36</v>
      </c>
      <c r="K243" s="53">
        <f t="shared" si="44"/>
        <v>5</v>
      </c>
      <c r="L243" s="51">
        <f t="shared" si="44"/>
        <v>0</v>
      </c>
      <c r="M243" s="51">
        <f t="shared" si="44"/>
        <v>0</v>
      </c>
      <c r="N243" s="51">
        <f t="shared" si="44"/>
        <v>0</v>
      </c>
      <c r="O243" s="51">
        <f t="shared" si="44"/>
        <v>0</v>
      </c>
      <c r="P243" s="53">
        <f t="shared" si="44"/>
        <v>0</v>
      </c>
      <c r="Q243" s="53">
        <f t="shared" si="44"/>
        <v>0</v>
      </c>
      <c r="R243" s="53">
        <f t="shared" si="44"/>
        <v>0</v>
      </c>
      <c r="S243" s="53">
        <f t="shared" si="44"/>
        <v>0</v>
      </c>
      <c r="T243" s="54">
        <f t="shared" si="44"/>
        <v>4</v>
      </c>
      <c r="U243" s="54">
        <f t="shared" si="44"/>
        <v>0</v>
      </c>
      <c r="V243" s="135">
        <f t="shared" si="44"/>
        <v>0</v>
      </c>
      <c r="W243" s="135">
        <f t="shared" si="44"/>
        <v>0</v>
      </c>
    </row>
    <row r="244" spans="1:23" ht="18" customHeight="1" x14ac:dyDescent="0.25">
      <c r="A244" s="55" t="s">
        <v>244</v>
      </c>
      <c r="B244" s="62" t="s">
        <v>243</v>
      </c>
      <c r="C244" s="45">
        <v>241</v>
      </c>
      <c r="D244" s="57"/>
      <c r="E244" s="57"/>
      <c r="F244" s="57"/>
      <c r="G244" s="57"/>
      <c r="H244" s="58"/>
      <c r="I244" s="58"/>
      <c r="J244" s="58"/>
      <c r="K244" s="58"/>
      <c r="L244" s="57"/>
      <c r="M244" s="57"/>
      <c r="N244" s="57"/>
      <c r="O244" s="57"/>
      <c r="P244" s="58"/>
      <c r="Q244" s="58"/>
      <c r="R244" s="58"/>
      <c r="S244" s="58"/>
      <c r="T244" s="59"/>
      <c r="U244" s="59"/>
      <c r="V244" s="136"/>
      <c r="W244" s="136"/>
    </row>
    <row r="245" spans="1:23" ht="18" customHeight="1" x14ac:dyDescent="0.25">
      <c r="A245" s="55" t="s">
        <v>244</v>
      </c>
      <c r="B245" s="62" t="s">
        <v>242</v>
      </c>
      <c r="C245" s="45">
        <v>242</v>
      </c>
      <c r="D245" s="57"/>
      <c r="E245" s="57"/>
      <c r="F245" s="57"/>
      <c r="G245" s="57"/>
      <c r="H245" s="58"/>
      <c r="I245" s="58"/>
      <c r="J245" s="58"/>
      <c r="K245" s="58"/>
      <c r="L245" s="57"/>
      <c r="M245" s="57"/>
      <c r="N245" s="57"/>
      <c r="O245" s="57"/>
      <c r="P245" s="58"/>
      <c r="Q245" s="58"/>
      <c r="R245" s="58"/>
      <c r="S245" s="58"/>
      <c r="T245" s="59"/>
      <c r="U245" s="59"/>
      <c r="V245" s="136"/>
      <c r="W245" s="136"/>
    </row>
    <row r="246" spans="1:23" ht="18" customHeight="1" x14ac:dyDescent="0.25">
      <c r="A246" s="55" t="s">
        <v>244</v>
      </c>
      <c r="B246" s="62" t="s">
        <v>241</v>
      </c>
      <c r="C246" s="45">
        <v>243</v>
      </c>
      <c r="D246" s="57"/>
      <c r="E246" s="57"/>
      <c r="F246" s="57"/>
      <c r="G246" s="57"/>
      <c r="H246" s="58"/>
      <c r="I246" s="58"/>
      <c r="J246" s="58"/>
      <c r="K246" s="58"/>
      <c r="L246" s="57"/>
      <c r="M246" s="57"/>
      <c r="N246" s="57"/>
      <c r="O246" s="57"/>
      <c r="P246" s="58"/>
      <c r="Q246" s="58"/>
      <c r="R246" s="58"/>
      <c r="S246" s="58"/>
      <c r="T246" s="59"/>
      <c r="U246" s="59"/>
      <c r="V246" s="136"/>
      <c r="W246" s="136"/>
    </row>
    <row r="247" spans="1:23" ht="18" customHeight="1" x14ac:dyDescent="0.25">
      <c r="A247" s="55" t="s">
        <v>244</v>
      </c>
      <c r="B247" s="62" t="s">
        <v>240</v>
      </c>
      <c r="C247" s="45">
        <v>244</v>
      </c>
      <c r="D247" s="57"/>
      <c r="E247" s="57"/>
      <c r="F247" s="57"/>
      <c r="G247" s="57"/>
      <c r="H247" s="58"/>
      <c r="I247" s="58"/>
      <c r="J247" s="58"/>
      <c r="K247" s="58"/>
      <c r="L247" s="57"/>
      <c r="M247" s="57"/>
      <c r="N247" s="57"/>
      <c r="O247" s="57"/>
      <c r="P247" s="58"/>
      <c r="Q247" s="58"/>
      <c r="R247" s="58"/>
      <c r="S247" s="58"/>
      <c r="T247" s="59"/>
      <c r="U247" s="59"/>
      <c r="V247" s="136"/>
      <c r="W247" s="136"/>
    </row>
    <row r="248" spans="1:23" ht="18" customHeight="1" x14ac:dyDescent="0.25">
      <c r="A248" s="55" t="s">
        <v>244</v>
      </c>
      <c r="B248" s="62" t="s">
        <v>239</v>
      </c>
      <c r="C248" s="45">
        <v>245</v>
      </c>
      <c r="D248" s="57"/>
      <c r="E248" s="57"/>
      <c r="F248" s="57"/>
      <c r="G248" s="57"/>
      <c r="H248" s="58"/>
      <c r="I248" s="58"/>
      <c r="J248" s="58"/>
      <c r="K248" s="58"/>
      <c r="L248" s="57"/>
      <c r="M248" s="57"/>
      <c r="N248" s="57"/>
      <c r="O248" s="57"/>
      <c r="P248" s="58"/>
      <c r="Q248" s="58"/>
      <c r="R248" s="58"/>
      <c r="S248" s="58"/>
      <c r="T248" s="59"/>
      <c r="U248" s="59"/>
      <c r="V248" s="136"/>
      <c r="W248" s="136"/>
    </row>
    <row r="249" spans="1:23" ht="18" customHeight="1" x14ac:dyDescent="0.25">
      <c r="A249" s="55" t="s">
        <v>244</v>
      </c>
      <c r="B249" s="62" t="s">
        <v>238</v>
      </c>
      <c r="C249" s="45">
        <v>246</v>
      </c>
      <c r="D249" s="57"/>
      <c r="E249" s="57"/>
      <c r="F249" s="57"/>
      <c r="G249" s="57"/>
      <c r="H249" s="58"/>
      <c r="I249" s="58"/>
      <c r="J249" s="58"/>
      <c r="K249" s="58"/>
      <c r="L249" s="57"/>
      <c r="M249" s="57"/>
      <c r="N249" s="57"/>
      <c r="O249" s="57"/>
      <c r="P249" s="58"/>
      <c r="Q249" s="58"/>
      <c r="R249" s="58"/>
      <c r="S249" s="58"/>
      <c r="T249" s="59"/>
      <c r="U249" s="59"/>
      <c r="V249" s="136"/>
      <c r="W249" s="136"/>
    </row>
    <row r="250" spans="1:23" ht="18" customHeight="1" x14ac:dyDescent="0.25">
      <c r="A250" s="55" t="s">
        <v>244</v>
      </c>
      <c r="B250" s="62" t="s">
        <v>237</v>
      </c>
      <c r="C250" s="45">
        <v>247</v>
      </c>
      <c r="D250" s="57"/>
      <c r="E250" s="57"/>
      <c r="F250" s="57"/>
      <c r="G250" s="57"/>
      <c r="H250" s="58"/>
      <c r="I250" s="58"/>
      <c r="J250" s="58"/>
      <c r="K250" s="58"/>
      <c r="L250" s="57"/>
      <c r="M250" s="57"/>
      <c r="N250" s="57"/>
      <c r="O250" s="57"/>
      <c r="P250" s="58"/>
      <c r="Q250" s="58"/>
      <c r="R250" s="58"/>
      <c r="S250" s="58"/>
      <c r="T250" s="59"/>
      <c r="U250" s="59"/>
      <c r="V250" s="136"/>
      <c r="W250" s="136"/>
    </row>
    <row r="251" spans="1:23" ht="18" customHeight="1" x14ac:dyDescent="0.25">
      <c r="A251" s="55" t="s">
        <v>244</v>
      </c>
      <c r="B251" s="62" t="s">
        <v>236</v>
      </c>
      <c r="C251" s="45">
        <v>248</v>
      </c>
      <c r="D251" s="57"/>
      <c r="E251" s="57"/>
      <c r="F251" s="57"/>
      <c r="G251" s="57"/>
      <c r="H251" s="58">
        <v>1</v>
      </c>
      <c r="I251" s="58">
        <v>1</v>
      </c>
      <c r="J251" s="58">
        <v>1</v>
      </c>
      <c r="K251" s="58"/>
      <c r="L251" s="57"/>
      <c r="M251" s="57"/>
      <c r="N251" s="57"/>
      <c r="O251" s="57"/>
      <c r="P251" s="58"/>
      <c r="Q251" s="58"/>
      <c r="R251" s="58"/>
      <c r="S251" s="58"/>
      <c r="T251" s="59"/>
      <c r="U251" s="59"/>
      <c r="V251" s="136"/>
      <c r="W251" s="136"/>
    </row>
    <row r="252" spans="1:23" ht="18" customHeight="1" x14ac:dyDescent="0.25">
      <c r="A252" s="55" t="s">
        <v>244</v>
      </c>
      <c r="B252" s="62" t="s">
        <v>235</v>
      </c>
      <c r="C252" s="45">
        <v>249</v>
      </c>
      <c r="D252" s="57"/>
      <c r="E252" s="57"/>
      <c r="F252" s="57"/>
      <c r="G252" s="57"/>
      <c r="H252" s="58"/>
      <c r="I252" s="58"/>
      <c r="J252" s="58"/>
      <c r="K252" s="58"/>
      <c r="L252" s="57"/>
      <c r="M252" s="57"/>
      <c r="N252" s="57"/>
      <c r="O252" s="57"/>
      <c r="P252" s="58"/>
      <c r="Q252" s="58"/>
      <c r="R252" s="58"/>
      <c r="S252" s="58"/>
      <c r="T252" s="59"/>
      <c r="U252" s="59"/>
      <c r="V252" s="136"/>
      <c r="W252" s="136"/>
    </row>
    <row r="253" spans="1:23" ht="18" customHeight="1" x14ac:dyDescent="0.25">
      <c r="A253" s="55" t="s">
        <v>244</v>
      </c>
      <c r="B253" s="62" t="s">
        <v>234</v>
      </c>
      <c r="C253" s="45">
        <v>250</v>
      </c>
      <c r="D253" s="57"/>
      <c r="E253" s="57"/>
      <c r="F253" s="57"/>
      <c r="G253" s="57"/>
      <c r="H253" s="58">
        <v>50</v>
      </c>
      <c r="I253" s="58">
        <v>40</v>
      </c>
      <c r="J253" s="58">
        <v>35</v>
      </c>
      <c r="K253" s="58">
        <v>5</v>
      </c>
      <c r="L253" s="57"/>
      <c r="M253" s="57"/>
      <c r="N253" s="57"/>
      <c r="O253" s="57"/>
      <c r="P253" s="58"/>
      <c r="Q253" s="58"/>
      <c r="R253" s="58"/>
      <c r="S253" s="58"/>
      <c r="T253" s="59">
        <v>4</v>
      </c>
      <c r="U253" s="59"/>
      <c r="V253" s="136"/>
      <c r="W253" s="136"/>
    </row>
    <row r="254" spans="1:23" ht="18" customHeight="1" x14ac:dyDescent="0.25">
      <c r="A254" s="55"/>
      <c r="B254" s="62" t="s">
        <v>935</v>
      </c>
      <c r="C254" s="45">
        <v>251</v>
      </c>
      <c r="D254" s="57"/>
      <c r="E254" s="57"/>
      <c r="F254" s="57"/>
      <c r="G254" s="57"/>
      <c r="H254" s="58"/>
      <c r="I254" s="58"/>
      <c r="J254" s="58"/>
      <c r="K254" s="58"/>
      <c r="L254" s="57"/>
      <c r="M254" s="57"/>
      <c r="N254" s="57"/>
      <c r="O254" s="57"/>
      <c r="P254" s="58"/>
      <c r="Q254" s="58"/>
      <c r="R254" s="58"/>
      <c r="S254" s="58"/>
      <c r="T254" s="59"/>
      <c r="U254" s="59"/>
      <c r="V254" s="136"/>
      <c r="W254" s="136"/>
    </row>
    <row r="255" spans="1:23" ht="18" customHeight="1" x14ac:dyDescent="0.25">
      <c r="A255" s="55" t="s">
        <v>244</v>
      </c>
      <c r="B255" s="62" t="s">
        <v>233</v>
      </c>
      <c r="C255" s="45">
        <v>252</v>
      </c>
      <c r="D255" s="57"/>
      <c r="E255" s="57"/>
      <c r="F255" s="57"/>
      <c r="G255" s="57"/>
      <c r="H255" s="58"/>
      <c r="I255" s="58"/>
      <c r="J255" s="58"/>
      <c r="K255" s="58"/>
      <c r="L255" s="57"/>
      <c r="M255" s="57"/>
      <c r="N255" s="57"/>
      <c r="O255" s="57"/>
      <c r="P255" s="58"/>
      <c r="Q255" s="58"/>
      <c r="R255" s="58"/>
      <c r="S255" s="58"/>
      <c r="T255" s="59"/>
      <c r="U255" s="59"/>
      <c r="V255" s="136"/>
      <c r="W255" s="136"/>
    </row>
    <row r="256" spans="1:23" ht="18" customHeight="1" x14ac:dyDescent="0.25">
      <c r="A256" s="55" t="s">
        <v>244</v>
      </c>
      <c r="B256" s="62" t="s">
        <v>232</v>
      </c>
      <c r="C256" s="45">
        <v>253</v>
      </c>
      <c r="D256" s="57"/>
      <c r="E256" s="57"/>
      <c r="F256" s="57"/>
      <c r="G256" s="57"/>
      <c r="H256" s="58"/>
      <c r="I256" s="58"/>
      <c r="J256" s="58"/>
      <c r="K256" s="58"/>
      <c r="L256" s="57"/>
      <c r="M256" s="57"/>
      <c r="N256" s="57"/>
      <c r="O256" s="57"/>
      <c r="P256" s="58"/>
      <c r="Q256" s="58"/>
      <c r="R256" s="58"/>
      <c r="S256" s="58"/>
      <c r="T256" s="59"/>
      <c r="U256" s="59"/>
      <c r="V256" s="136"/>
      <c r="W256" s="136"/>
    </row>
    <row r="257" spans="1:23" ht="18" customHeight="1" x14ac:dyDescent="0.25">
      <c r="A257" s="55" t="s">
        <v>244</v>
      </c>
      <c r="B257" s="62" t="s">
        <v>231</v>
      </c>
      <c r="C257" s="45">
        <v>254</v>
      </c>
      <c r="D257" s="57"/>
      <c r="E257" s="57"/>
      <c r="F257" s="57"/>
      <c r="G257" s="57"/>
      <c r="H257" s="58"/>
      <c r="I257" s="58"/>
      <c r="J257" s="58"/>
      <c r="K257" s="58"/>
      <c r="L257" s="57"/>
      <c r="M257" s="57"/>
      <c r="N257" s="57"/>
      <c r="O257" s="57"/>
      <c r="P257" s="58"/>
      <c r="Q257" s="58"/>
      <c r="R257" s="58"/>
      <c r="S257" s="58"/>
      <c r="T257" s="59"/>
      <c r="U257" s="59"/>
      <c r="V257" s="136"/>
      <c r="W257" s="136"/>
    </row>
    <row r="258" spans="1:23" ht="18" customHeight="1" x14ac:dyDescent="0.25">
      <c r="A258" s="49" t="s">
        <v>230</v>
      </c>
      <c r="B258" s="50"/>
      <c r="C258" s="45">
        <v>255</v>
      </c>
      <c r="D258" s="51">
        <f t="shared" ref="D258:W258" si="45">SUM(D259:D272)</f>
        <v>0</v>
      </c>
      <c r="E258" s="51">
        <f t="shared" si="45"/>
        <v>0</v>
      </c>
      <c r="F258" s="51">
        <f t="shared" si="45"/>
        <v>0</v>
      </c>
      <c r="G258" s="51">
        <f t="shared" si="45"/>
        <v>0</v>
      </c>
      <c r="H258" s="53">
        <f t="shared" si="45"/>
        <v>40</v>
      </c>
      <c r="I258" s="53">
        <f t="shared" si="45"/>
        <v>20</v>
      </c>
      <c r="J258" s="53">
        <f t="shared" si="45"/>
        <v>31</v>
      </c>
      <c r="K258" s="53">
        <f t="shared" si="45"/>
        <v>17</v>
      </c>
      <c r="L258" s="51">
        <f t="shared" si="45"/>
        <v>0</v>
      </c>
      <c r="M258" s="51">
        <f t="shared" si="45"/>
        <v>0</v>
      </c>
      <c r="N258" s="51">
        <f t="shared" si="45"/>
        <v>0</v>
      </c>
      <c r="O258" s="51">
        <f t="shared" si="45"/>
        <v>0</v>
      </c>
      <c r="P258" s="53">
        <f t="shared" si="45"/>
        <v>0</v>
      </c>
      <c r="Q258" s="53">
        <f t="shared" si="45"/>
        <v>0</v>
      </c>
      <c r="R258" s="53">
        <f t="shared" si="45"/>
        <v>0</v>
      </c>
      <c r="S258" s="53">
        <f t="shared" si="45"/>
        <v>0</v>
      </c>
      <c r="T258" s="54">
        <f t="shared" si="45"/>
        <v>7</v>
      </c>
      <c r="U258" s="54">
        <f t="shared" si="45"/>
        <v>0</v>
      </c>
      <c r="V258" s="135">
        <f t="shared" si="45"/>
        <v>1</v>
      </c>
      <c r="W258" s="135">
        <f t="shared" si="45"/>
        <v>0</v>
      </c>
    </row>
    <row r="259" spans="1:23" ht="18" customHeight="1" x14ac:dyDescent="0.25">
      <c r="A259" s="55" t="s">
        <v>230</v>
      </c>
      <c r="B259" s="62" t="s">
        <v>229</v>
      </c>
      <c r="C259" s="45">
        <v>256</v>
      </c>
      <c r="D259" s="57"/>
      <c r="E259" s="57"/>
      <c r="F259" s="57"/>
      <c r="G259" s="57"/>
      <c r="H259" s="58"/>
      <c r="I259" s="58"/>
      <c r="J259" s="58"/>
      <c r="K259" s="58"/>
      <c r="L259" s="57"/>
      <c r="M259" s="57"/>
      <c r="N259" s="57"/>
      <c r="O259" s="57"/>
      <c r="P259" s="58"/>
      <c r="Q259" s="58"/>
      <c r="R259" s="58"/>
      <c r="S259" s="58"/>
      <c r="T259" s="59"/>
      <c r="U259" s="59"/>
      <c r="V259" s="136"/>
      <c r="W259" s="136"/>
    </row>
    <row r="260" spans="1:23" ht="18" customHeight="1" x14ac:dyDescent="0.25">
      <c r="A260" s="55" t="s">
        <v>230</v>
      </c>
      <c r="B260" s="62" t="s">
        <v>228</v>
      </c>
      <c r="C260" s="45">
        <v>257</v>
      </c>
      <c r="D260" s="57"/>
      <c r="E260" s="57"/>
      <c r="F260" s="57"/>
      <c r="G260" s="57"/>
      <c r="H260" s="58">
        <v>11</v>
      </c>
      <c r="I260" s="58">
        <v>4</v>
      </c>
      <c r="J260" s="58">
        <v>9</v>
      </c>
      <c r="K260" s="58">
        <v>6</v>
      </c>
      <c r="L260" s="57"/>
      <c r="M260" s="57"/>
      <c r="N260" s="57"/>
      <c r="O260" s="57"/>
      <c r="P260" s="58"/>
      <c r="Q260" s="58"/>
      <c r="R260" s="58"/>
      <c r="S260" s="58"/>
      <c r="T260" s="59">
        <v>1</v>
      </c>
      <c r="U260" s="59"/>
      <c r="V260" s="136"/>
      <c r="W260" s="136"/>
    </row>
    <row r="261" spans="1:23" ht="18" customHeight="1" x14ac:dyDescent="0.25">
      <c r="A261" s="55" t="s">
        <v>230</v>
      </c>
      <c r="B261" s="62" t="s">
        <v>227</v>
      </c>
      <c r="C261" s="45">
        <v>258</v>
      </c>
      <c r="D261" s="57"/>
      <c r="E261" s="57"/>
      <c r="F261" s="57"/>
      <c r="G261" s="57"/>
      <c r="H261" s="58"/>
      <c r="I261" s="58">
        <v>1</v>
      </c>
      <c r="J261" s="58">
        <v>1</v>
      </c>
      <c r="K261" s="58"/>
      <c r="L261" s="57"/>
      <c r="M261" s="57"/>
      <c r="N261" s="57"/>
      <c r="O261" s="57"/>
      <c r="P261" s="58"/>
      <c r="Q261" s="58"/>
      <c r="R261" s="58"/>
      <c r="S261" s="58"/>
      <c r="T261" s="59"/>
      <c r="U261" s="59"/>
      <c r="V261" s="136">
        <v>1</v>
      </c>
      <c r="W261" s="136"/>
    </row>
    <row r="262" spans="1:23" ht="18" customHeight="1" x14ac:dyDescent="0.25">
      <c r="A262" s="55"/>
      <c r="B262" s="62" t="s">
        <v>936</v>
      </c>
      <c r="C262" s="45">
        <v>259</v>
      </c>
      <c r="D262" s="57"/>
      <c r="E262" s="57"/>
      <c r="F262" s="57"/>
      <c r="G262" s="57"/>
      <c r="H262" s="58"/>
      <c r="I262" s="58"/>
      <c r="J262" s="58"/>
      <c r="K262" s="58"/>
      <c r="L262" s="57"/>
      <c r="M262" s="57"/>
      <c r="N262" s="57"/>
      <c r="O262" s="57"/>
      <c r="P262" s="58"/>
      <c r="Q262" s="58"/>
      <c r="R262" s="58"/>
      <c r="S262" s="58"/>
      <c r="T262" s="59"/>
      <c r="U262" s="59"/>
      <c r="V262" s="136"/>
      <c r="W262" s="136"/>
    </row>
    <row r="263" spans="1:23" ht="18" customHeight="1" x14ac:dyDescent="0.25">
      <c r="A263" s="55" t="s">
        <v>230</v>
      </c>
      <c r="B263" s="62" t="s">
        <v>226</v>
      </c>
      <c r="C263" s="45">
        <v>260</v>
      </c>
      <c r="D263" s="57"/>
      <c r="E263" s="57"/>
      <c r="F263" s="57"/>
      <c r="G263" s="57"/>
      <c r="H263" s="58"/>
      <c r="I263" s="58"/>
      <c r="J263" s="58"/>
      <c r="K263" s="58"/>
      <c r="L263" s="57"/>
      <c r="M263" s="57"/>
      <c r="N263" s="57"/>
      <c r="O263" s="57"/>
      <c r="P263" s="58"/>
      <c r="Q263" s="58"/>
      <c r="R263" s="58"/>
      <c r="S263" s="58"/>
      <c r="T263" s="59"/>
      <c r="U263" s="59"/>
      <c r="V263" s="136"/>
      <c r="W263" s="136"/>
    </row>
    <row r="264" spans="1:23" ht="18" customHeight="1" x14ac:dyDescent="0.25">
      <c r="A264" s="55" t="s">
        <v>230</v>
      </c>
      <c r="B264" s="62" t="s">
        <v>225</v>
      </c>
      <c r="C264" s="45">
        <v>261</v>
      </c>
      <c r="D264" s="57"/>
      <c r="E264" s="57"/>
      <c r="F264" s="57"/>
      <c r="G264" s="57"/>
      <c r="H264" s="58"/>
      <c r="I264" s="58"/>
      <c r="J264" s="58"/>
      <c r="K264" s="58"/>
      <c r="L264" s="57"/>
      <c r="M264" s="57"/>
      <c r="N264" s="57"/>
      <c r="O264" s="57"/>
      <c r="P264" s="58"/>
      <c r="Q264" s="58"/>
      <c r="R264" s="58"/>
      <c r="S264" s="58"/>
      <c r="T264" s="59"/>
      <c r="U264" s="59"/>
      <c r="V264" s="136"/>
      <c r="W264" s="136"/>
    </row>
    <row r="265" spans="1:23" ht="18" customHeight="1" x14ac:dyDescent="0.25">
      <c r="A265" s="55" t="s">
        <v>230</v>
      </c>
      <c r="B265" s="62" t="s">
        <v>224</v>
      </c>
      <c r="C265" s="45">
        <v>262</v>
      </c>
      <c r="D265" s="57"/>
      <c r="E265" s="57"/>
      <c r="F265" s="57"/>
      <c r="G265" s="57"/>
      <c r="H265" s="58"/>
      <c r="I265" s="58"/>
      <c r="J265" s="58"/>
      <c r="K265" s="58"/>
      <c r="L265" s="57"/>
      <c r="M265" s="57"/>
      <c r="N265" s="57"/>
      <c r="O265" s="57"/>
      <c r="P265" s="58"/>
      <c r="Q265" s="58"/>
      <c r="R265" s="58"/>
      <c r="S265" s="58"/>
      <c r="T265" s="59"/>
      <c r="U265" s="59"/>
      <c r="V265" s="136"/>
      <c r="W265" s="136"/>
    </row>
    <row r="266" spans="1:23" ht="18" customHeight="1" x14ac:dyDescent="0.25">
      <c r="A266" s="55" t="s">
        <v>230</v>
      </c>
      <c r="B266" s="62" t="s">
        <v>223</v>
      </c>
      <c r="C266" s="45">
        <v>263</v>
      </c>
      <c r="D266" s="57"/>
      <c r="E266" s="57"/>
      <c r="F266" s="57"/>
      <c r="G266" s="57"/>
      <c r="H266" s="58">
        <v>2</v>
      </c>
      <c r="I266" s="58">
        <v>2</v>
      </c>
      <c r="J266" s="58">
        <v>6</v>
      </c>
      <c r="K266" s="58"/>
      <c r="L266" s="57"/>
      <c r="M266" s="57"/>
      <c r="N266" s="57"/>
      <c r="O266" s="57"/>
      <c r="P266" s="58"/>
      <c r="Q266" s="58"/>
      <c r="R266" s="58"/>
      <c r="S266" s="58"/>
      <c r="T266" s="59">
        <v>1</v>
      </c>
      <c r="U266" s="59"/>
      <c r="V266" s="136"/>
      <c r="W266" s="136"/>
    </row>
    <row r="267" spans="1:23" ht="18" customHeight="1" x14ac:dyDescent="0.25">
      <c r="A267" s="55" t="s">
        <v>230</v>
      </c>
      <c r="B267" s="62" t="s">
        <v>222</v>
      </c>
      <c r="C267" s="45">
        <v>264</v>
      </c>
      <c r="D267" s="57"/>
      <c r="E267" s="57"/>
      <c r="F267" s="57"/>
      <c r="G267" s="57"/>
      <c r="H267" s="58"/>
      <c r="I267" s="58"/>
      <c r="J267" s="58"/>
      <c r="K267" s="58">
        <v>1</v>
      </c>
      <c r="L267" s="57"/>
      <c r="M267" s="57"/>
      <c r="N267" s="57"/>
      <c r="O267" s="57"/>
      <c r="P267" s="58"/>
      <c r="Q267" s="58"/>
      <c r="R267" s="58"/>
      <c r="S267" s="58"/>
      <c r="T267" s="59"/>
      <c r="U267" s="59"/>
      <c r="V267" s="136"/>
      <c r="W267" s="136"/>
    </row>
    <row r="268" spans="1:23" ht="18" customHeight="1" x14ac:dyDescent="0.25">
      <c r="A268" s="55" t="s">
        <v>230</v>
      </c>
      <c r="B268" s="62" t="s">
        <v>221</v>
      </c>
      <c r="C268" s="45">
        <v>265</v>
      </c>
      <c r="D268" s="57"/>
      <c r="E268" s="57"/>
      <c r="F268" s="57"/>
      <c r="G268" s="57"/>
      <c r="H268" s="58"/>
      <c r="I268" s="58"/>
      <c r="J268" s="58"/>
      <c r="K268" s="58"/>
      <c r="L268" s="57"/>
      <c r="M268" s="57"/>
      <c r="N268" s="57"/>
      <c r="O268" s="57"/>
      <c r="P268" s="58"/>
      <c r="Q268" s="58"/>
      <c r="R268" s="58"/>
      <c r="S268" s="58"/>
      <c r="T268" s="59"/>
      <c r="U268" s="59"/>
      <c r="V268" s="136"/>
      <c r="W268" s="136"/>
    </row>
    <row r="269" spans="1:23" ht="18" customHeight="1" x14ac:dyDescent="0.25">
      <c r="A269" s="55" t="s">
        <v>230</v>
      </c>
      <c r="B269" s="62" t="s">
        <v>220</v>
      </c>
      <c r="C269" s="45">
        <v>266</v>
      </c>
      <c r="D269" s="57"/>
      <c r="E269" s="57"/>
      <c r="F269" s="57"/>
      <c r="G269" s="57"/>
      <c r="H269" s="58">
        <v>18</v>
      </c>
      <c r="I269" s="58">
        <v>10</v>
      </c>
      <c r="J269" s="58">
        <v>10</v>
      </c>
      <c r="K269" s="58">
        <v>4</v>
      </c>
      <c r="L269" s="57"/>
      <c r="M269" s="57"/>
      <c r="N269" s="57"/>
      <c r="O269" s="57"/>
      <c r="P269" s="58"/>
      <c r="Q269" s="58"/>
      <c r="R269" s="58"/>
      <c r="S269" s="58"/>
      <c r="T269" s="59">
        <v>4</v>
      </c>
      <c r="U269" s="59"/>
      <c r="V269" s="136"/>
      <c r="W269" s="136"/>
    </row>
    <row r="270" spans="1:23" ht="18" customHeight="1" x14ac:dyDescent="0.25">
      <c r="A270" s="55" t="s">
        <v>230</v>
      </c>
      <c r="B270" s="62" t="s">
        <v>219</v>
      </c>
      <c r="C270" s="45">
        <v>267</v>
      </c>
      <c r="D270" s="57"/>
      <c r="E270" s="57"/>
      <c r="F270" s="57"/>
      <c r="G270" s="57"/>
      <c r="H270" s="58">
        <v>8</v>
      </c>
      <c r="I270" s="58">
        <v>3</v>
      </c>
      <c r="J270" s="58">
        <v>5</v>
      </c>
      <c r="K270" s="58">
        <v>4</v>
      </c>
      <c r="L270" s="57"/>
      <c r="M270" s="57"/>
      <c r="N270" s="57"/>
      <c r="O270" s="57"/>
      <c r="P270" s="58"/>
      <c r="Q270" s="58"/>
      <c r="R270" s="58"/>
      <c r="S270" s="58"/>
      <c r="T270" s="59">
        <v>1</v>
      </c>
      <c r="U270" s="59"/>
      <c r="V270" s="136"/>
      <c r="W270" s="136"/>
    </row>
    <row r="271" spans="1:23" ht="18" customHeight="1" x14ac:dyDescent="0.25">
      <c r="A271" s="55" t="s">
        <v>230</v>
      </c>
      <c r="B271" s="62" t="s">
        <v>218</v>
      </c>
      <c r="C271" s="45">
        <v>268</v>
      </c>
      <c r="D271" s="57"/>
      <c r="E271" s="57"/>
      <c r="F271" s="57"/>
      <c r="G271" s="57"/>
      <c r="H271" s="58"/>
      <c r="I271" s="58"/>
      <c r="J271" s="58"/>
      <c r="K271" s="58"/>
      <c r="L271" s="57"/>
      <c r="M271" s="57"/>
      <c r="N271" s="57"/>
      <c r="O271" s="57"/>
      <c r="P271" s="58"/>
      <c r="Q271" s="58"/>
      <c r="R271" s="58"/>
      <c r="S271" s="58"/>
      <c r="T271" s="59"/>
      <c r="U271" s="59"/>
      <c r="V271" s="136"/>
      <c r="W271" s="136"/>
    </row>
    <row r="272" spans="1:23" ht="18" customHeight="1" x14ac:dyDescent="0.25">
      <c r="A272" s="55" t="s">
        <v>230</v>
      </c>
      <c r="B272" s="62" t="s">
        <v>217</v>
      </c>
      <c r="C272" s="45">
        <v>269</v>
      </c>
      <c r="D272" s="57"/>
      <c r="E272" s="57"/>
      <c r="F272" s="57"/>
      <c r="G272" s="57"/>
      <c r="H272" s="58">
        <v>1</v>
      </c>
      <c r="I272" s="58"/>
      <c r="J272" s="58"/>
      <c r="K272" s="58">
        <v>2</v>
      </c>
      <c r="L272" s="57"/>
      <c r="M272" s="57"/>
      <c r="N272" s="57"/>
      <c r="O272" s="57"/>
      <c r="P272" s="58"/>
      <c r="Q272" s="58"/>
      <c r="R272" s="58"/>
      <c r="S272" s="58"/>
      <c r="T272" s="59"/>
      <c r="U272" s="59"/>
      <c r="V272" s="136"/>
      <c r="W272" s="136"/>
    </row>
    <row r="273" spans="1:23" ht="18" customHeight="1" x14ac:dyDescent="0.25">
      <c r="A273" s="49" t="s">
        <v>216</v>
      </c>
      <c r="B273" s="50"/>
      <c r="C273" s="45">
        <v>270</v>
      </c>
      <c r="D273" s="51">
        <f>SUM(D274:D278)</f>
        <v>0</v>
      </c>
      <c r="E273" s="51">
        <f t="shared" ref="E273:U273" si="46">SUM(E274:E278)</f>
        <v>0</v>
      </c>
      <c r="F273" s="51">
        <f t="shared" si="46"/>
        <v>0</v>
      </c>
      <c r="G273" s="51">
        <f t="shared" si="46"/>
        <v>0</v>
      </c>
      <c r="H273" s="53">
        <f t="shared" si="46"/>
        <v>0</v>
      </c>
      <c r="I273" s="53">
        <f t="shared" si="46"/>
        <v>0</v>
      </c>
      <c r="J273" s="53">
        <f t="shared" si="46"/>
        <v>0</v>
      </c>
      <c r="K273" s="53">
        <f t="shared" si="46"/>
        <v>0</v>
      </c>
      <c r="L273" s="51">
        <f t="shared" si="46"/>
        <v>0</v>
      </c>
      <c r="M273" s="51">
        <f t="shared" si="46"/>
        <v>0</v>
      </c>
      <c r="N273" s="51">
        <f t="shared" si="46"/>
        <v>0</v>
      </c>
      <c r="O273" s="51">
        <f t="shared" si="46"/>
        <v>0</v>
      </c>
      <c r="P273" s="53">
        <f t="shared" si="46"/>
        <v>0</v>
      </c>
      <c r="Q273" s="53">
        <f t="shared" si="46"/>
        <v>0</v>
      </c>
      <c r="R273" s="53">
        <f t="shared" si="46"/>
        <v>0</v>
      </c>
      <c r="S273" s="53">
        <f t="shared" si="46"/>
        <v>0</v>
      </c>
      <c r="T273" s="54">
        <f t="shared" si="46"/>
        <v>0</v>
      </c>
      <c r="U273" s="54">
        <f t="shared" si="46"/>
        <v>0</v>
      </c>
      <c r="V273" s="135">
        <f t="shared" ref="V273:W273" si="47">SUM(V274:V278)</f>
        <v>0</v>
      </c>
      <c r="W273" s="135">
        <f t="shared" si="47"/>
        <v>0</v>
      </c>
    </row>
    <row r="274" spans="1:23" ht="18" customHeight="1" x14ac:dyDescent="0.25">
      <c r="A274" s="55" t="s">
        <v>216</v>
      </c>
      <c r="B274" s="62" t="s">
        <v>215</v>
      </c>
      <c r="C274" s="45">
        <v>271</v>
      </c>
      <c r="D274" s="57"/>
      <c r="E274" s="57"/>
      <c r="F274" s="57"/>
      <c r="G274" s="57"/>
      <c r="H274" s="58"/>
      <c r="I274" s="58"/>
      <c r="J274" s="58"/>
      <c r="K274" s="58"/>
      <c r="L274" s="57"/>
      <c r="M274" s="57"/>
      <c r="N274" s="57"/>
      <c r="O274" s="57"/>
      <c r="P274" s="58"/>
      <c r="Q274" s="58"/>
      <c r="R274" s="58"/>
      <c r="S274" s="58"/>
      <c r="T274" s="59"/>
      <c r="U274" s="59"/>
      <c r="V274" s="136"/>
      <c r="W274" s="136"/>
    </row>
    <row r="275" spans="1:23" ht="18" customHeight="1" x14ac:dyDescent="0.25">
      <c r="A275" s="55" t="s">
        <v>216</v>
      </c>
      <c r="B275" s="62" t="s">
        <v>214</v>
      </c>
      <c r="C275" s="45">
        <v>272</v>
      </c>
      <c r="D275" s="57"/>
      <c r="E275" s="57"/>
      <c r="F275" s="57"/>
      <c r="G275" s="57"/>
      <c r="H275" s="58"/>
      <c r="I275" s="58"/>
      <c r="J275" s="58"/>
      <c r="K275" s="58"/>
      <c r="L275" s="57"/>
      <c r="M275" s="57"/>
      <c r="N275" s="57"/>
      <c r="O275" s="57"/>
      <c r="P275" s="58"/>
      <c r="Q275" s="58"/>
      <c r="R275" s="58"/>
      <c r="S275" s="58"/>
      <c r="T275" s="59"/>
      <c r="U275" s="59"/>
      <c r="V275" s="136"/>
      <c r="W275" s="136"/>
    </row>
    <row r="276" spans="1:23" ht="18" customHeight="1" x14ac:dyDescent="0.25">
      <c r="A276" s="55" t="s">
        <v>216</v>
      </c>
      <c r="B276" s="62" t="s">
        <v>213</v>
      </c>
      <c r="C276" s="45">
        <v>273</v>
      </c>
      <c r="D276" s="57"/>
      <c r="E276" s="57"/>
      <c r="F276" s="57"/>
      <c r="G276" s="57"/>
      <c r="H276" s="58"/>
      <c r="I276" s="58"/>
      <c r="J276" s="58"/>
      <c r="K276" s="58"/>
      <c r="L276" s="57"/>
      <c r="M276" s="57"/>
      <c r="N276" s="57"/>
      <c r="O276" s="57"/>
      <c r="P276" s="58"/>
      <c r="Q276" s="58"/>
      <c r="R276" s="58"/>
      <c r="S276" s="58"/>
      <c r="T276" s="59"/>
      <c r="U276" s="59"/>
      <c r="V276" s="136"/>
      <c r="W276" s="136"/>
    </row>
    <row r="277" spans="1:23" ht="18" customHeight="1" x14ac:dyDescent="0.25">
      <c r="A277" s="55" t="s">
        <v>216</v>
      </c>
      <c r="B277" s="62" t="s">
        <v>212</v>
      </c>
      <c r="C277" s="45">
        <v>274</v>
      </c>
      <c r="D277" s="57"/>
      <c r="E277" s="57"/>
      <c r="F277" s="57"/>
      <c r="G277" s="57"/>
      <c r="H277" s="58"/>
      <c r="I277" s="58"/>
      <c r="J277" s="58"/>
      <c r="K277" s="58"/>
      <c r="L277" s="57"/>
      <c r="M277" s="57"/>
      <c r="N277" s="57"/>
      <c r="O277" s="57"/>
      <c r="P277" s="58"/>
      <c r="Q277" s="58"/>
      <c r="R277" s="58"/>
      <c r="S277" s="58"/>
      <c r="T277" s="59"/>
      <c r="U277" s="59"/>
      <c r="V277" s="136"/>
      <c r="W277" s="136"/>
    </row>
    <row r="278" spans="1:23" ht="18" customHeight="1" x14ac:dyDescent="0.25">
      <c r="A278" s="55" t="s">
        <v>216</v>
      </c>
      <c r="B278" s="61" t="s">
        <v>211</v>
      </c>
      <c r="C278" s="45">
        <v>275</v>
      </c>
      <c r="D278" s="57"/>
      <c r="E278" s="57"/>
      <c r="F278" s="57"/>
      <c r="G278" s="57"/>
      <c r="H278" s="58"/>
      <c r="I278" s="58"/>
      <c r="J278" s="58"/>
      <c r="K278" s="58"/>
      <c r="L278" s="57"/>
      <c r="M278" s="57"/>
      <c r="N278" s="57"/>
      <c r="O278" s="57"/>
      <c r="P278" s="58"/>
      <c r="Q278" s="58"/>
      <c r="R278" s="58"/>
      <c r="S278" s="58"/>
      <c r="T278" s="59"/>
      <c r="U278" s="59"/>
      <c r="V278" s="136"/>
      <c r="W278" s="136"/>
    </row>
    <row r="279" spans="1:23" ht="18" customHeight="1" x14ac:dyDescent="0.25">
      <c r="A279" s="49" t="s">
        <v>210</v>
      </c>
      <c r="B279" s="50"/>
      <c r="C279" s="45">
        <v>276</v>
      </c>
      <c r="D279" s="51">
        <f>SUM(D280:D293)</f>
        <v>0</v>
      </c>
      <c r="E279" s="51">
        <f t="shared" ref="E279:U279" si="48">SUM(E280:E293)</f>
        <v>0</v>
      </c>
      <c r="F279" s="51">
        <f t="shared" si="48"/>
        <v>0</v>
      </c>
      <c r="G279" s="51">
        <f t="shared" si="48"/>
        <v>0</v>
      </c>
      <c r="H279" s="53">
        <f t="shared" si="48"/>
        <v>1</v>
      </c>
      <c r="I279" s="53">
        <f t="shared" si="48"/>
        <v>0</v>
      </c>
      <c r="J279" s="53">
        <f t="shared" si="48"/>
        <v>0</v>
      </c>
      <c r="K279" s="53">
        <f t="shared" si="48"/>
        <v>0</v>
      </c>
      <c r="L279" s="51">
        <f t="shared" si="48"/>
        <v>0</v>
      </c>
      <c r="M279" s="51">
        <f t="shared" si="48"/>
        <v>0</v>
      </c>
      <c r="N279" s="51">
        <f t="shared" si="48"/>
        <v>0</v>
      </c>
      <c r="O279" s="51">
        <f t="shared" si="48"/>
        <v>0</v>
      </c>
      <c r="P279" s="53">
        <f t="shared" si="48"/>
        <v>0</v>
      </c>
      <c r="Q279" s="53">
        <f t="shared" si="48"/>
        <v>0</v>
      </c>
      <c r="R279" s="53">
        <f t="shared" si="48"/>
        <v>0</v>
      </c>
      <c r="S279" s="53">
        <f t="shared" si="48"/>
        <v>0</v>
      </c>
      <c r="T279" s="54">
        <f t="shared" si="48"/>
        <v>0</v>
      </c>
      <c r="U279" s="54">
        <f t="shared" si="48"/>
        <v>0</v>
      </c>
      <c r="V279" s="135">
        <f t="shared" ref="V279:W279" si="49">SUM(V280:V293)</f>
        <v>0</v>
      </c>
      <c r="W279" s="135">
        <f t="shared" si="49"/>
        <v>0</v>
      </c>
    </row>
    <row r="280" spans="1:23" ht="18" customHeight="1" x14ac:dyDescent="0.25">
      <c r="A280" s="55" t="s">
        <v>210</v>
      </c>
      <c r="B280" s="61" t="s">
        <v>209</v>
      </c>
      <c r="C280" s="45">
        <v>277</v>
      </c>
      <c r="D280" s="57"/>
      <c r="E280" s="57"/>
      <c r="F280" s="57"/>
      <c r="G280" s="57"/>
      <c r="H280" s="58"/>
      <c r="I280" s="58"/>
      <c r="J280" s="58"/>
      <c r="K280" s="58"/>
      <c r="L280" s="57"/>
      <c r="M280" s="57"/>
      <c r="N280" s="57"/>
      <c r="O280" s="57"/>
      <c r="P280" s="58"/>
      <c r="Q280" s="58"/>
      <c r="R280" s="58"/>
      <c r="S280" s="58"/>
      <c r="T280" s="59"/>
      <c r="U280" s="59"/>
      <c r="V280" s="136"/>
      <c r="W280" s="136"/>
    </row>
    <row r="281" spans="1:23" ht="18" customHeight="1" x14ac:dyDescent="0.25">
      <c r="A281" s="55" t="s">
        <v>210</v>
      </c>
      <c r="B281" s="61" t="s">
        <v>208</v>
      </c>
      <c r="C281" s="45">
        <v>278</v>
      </c>
      <c r="D281" s="57"/>
      <c r="E281" s="57"/>
      <c r="F281" s="57"/>
      <c r="G281" s="57"/>
      <c r="H281" s="58"/>
      <c r="I281" s="58"/>
      <c r="J281" s="58"/>
      <c r="K281" s="58"/>
      <c r="L281" s="57"/>
      <c r="M281" s="57"/>
      <c r="N281" s="57"/>
      <c r="O281" s="57"/>
      <c r="P281" s="58"/>
      <c r="Q281" s="58"/>
      <c r="R281" s="58"/>
      <c r="S281" s="58"/>
      <c r="T281" s="59"/>
      <c r="U281" s="59"/>
      <c r="V281" s="136"/>
      <c r="W281" s="136"/>
    </row>
    <row r="282" spans="1:23" ht="18" customHeight="1" x14ac:dyDescent="0.25">
      <c r="A282" s="55" t="s">
        <v>210</v>
      </c>
      <c r="B282" s="62" t="s">
        <v>207</v>
      </c>
      <c r="C282" s="45">
        <v>279</v>
      </c>
      <c r="D282" s="57"/>
      <c r="E282" s="57"/>
      <c r="F282" s="57"/>
      <c r="G282" s="57"/>
      <c r="H282" s="58"/>
      <c r="I282" s="58"/>
      <c r="J282" s="58"/>
      <c r="K282" s="58"/>
      <c r="L282" s="57"/>
      <c r="M282" s="57"/>
      <c r="N282" s="57"/>
      <c r="O282" s="57"/>
      <c r="P282" s="58"/>
      <c r="Q282" s="58"/>
      <c r="R282" s="58"/>
      <c r="S282" s="58"/>
      <c r="T282" s="59"/>
      <c r="U282" s="59"/>
      <c r="V282" s="136"/>
      <c r="W282" s="136"/>
    </row>
    <row r="283" spans="1:23" ht="18" customHeight="1" x14ac:dyDescent="0.25">
      <c r="A283" s="55" t="s">
        <v>210</v>
      </c>
      <c r="B283" s="62" t="s">
        <v>206</v>
      </c>
      <c r="C283" s="45">
        <v>280</v>
      </c>
      <c r="D283" s="57"/>
      <c r="E283" s="57"/>
      <c r="F283" s="57"/>
      <c r="G283" s="57"/>
      <c r="H283" s="58"/>
      <c r="I283" s="58"/>
      <c r="J283" s="58"/>
      <c r="K283" s="58"/>
      <c r="L283" s="57"/>
      <c r="M283" s="57"/>
      <c r="N283" s="57"/>
      <c r="O283" s="57"/>
      <c r="P283" s="58"/>
      <c r="Q283" s="58"/>
      <c r="R283" s="58"/>
      <c r="S283" s="58"/>
      <c r="T283" s="59"/>
      <c r="U283" s="59"/>
      <c r="V283" s="136"/>
      <c r="W283" s="136"/>
    </row>
    <row r="284" spans="1:23" ht="18" customHeight="1" x14ac:dyDescent="0.25">
      <c r="A284" s="55" t="s">
        <v>210</v>
      </c>
      <c r="B284" s="62" t="s">
        <v>205</v>
      </c>
      <c r="C284" s="45">
        <v>281</v>
      </c>
      <c r="D284" s="57"/>
      <c r="E284" s="57"/>
      <c r="F284" s="57"/>
      <c r="G284" s="57"/>
      <c r="H284" s="58"/>
      <c r="I284" s="58"/>
      <c r="J284" s="58"/>
      <c r="K284" s="58"/>
      <c r="L284" s="57"/>
      <c r="M284" s="57"/>
      <c r="N284" s="57"/>
      <c r="O284" s="57"/>
      <c r="P284" s="58"/>
      <c r="Q284" s="58"/>
      <c r="R284" s="58"/>
      <c r="S284" s="58"/>
      <c r="T284" s="59"/>
      <c r="U284" s="59"/>
      <c r="V284" s="136"/>
      <c r="W284" s="136"/>
    </row>
    <row r="285" spans="1:23" ht="18" customHeight="1" x14ac:dyDescent="0.25">
      <c r="A285" s="55" t="s">
        <v>210</v>
      </c>
      <c r="B285" s="62" t="s">
        <v>204</v>
      </c>
      <c r="C285" s="45">
        <v>282</v>
      </c>
      <c r="D285" s="57"/>
      <c r="E285" s="57"/>
      <c r="F285" s="57"/>
      <c r="G285" s="57"/>
      <c r="H285" s="58"/>
      <c r="I285" s="58"/>
      <c r="J285" s="58"/>
      <c r="K285" s="58"/>
      <c r="L285" s="57"/>
      <c r="M285" s="57"/>
      <c r="N285" s="57"/>
      <c r="O285" s="57"/>
      <c r="P285" s="58"/>
      <c r="Q285" s="58"/>
      <c r="R285" s="58"/>
      <c r="S285" s="58"/>
      <c r="T285" s="59"/>
      <c r="U285" s="59"/>
      <c r="V285" s="136"/>
      <c r="W285" s="136"/>
    </row>
    <row r="286" spans="1:23" ht="18" customHeight="1" x14ac:dyDescent="0.25">
      <c r="A286" s="55" t="s">
        <v>210</v>
      </c>
      <c r="B286" s="62" t="s">
        <v>203</v>
      </c>
      <c r="C286" s="45">
        <v>283</v>
      </c>
      <c r="D286" s="57"/>
      <c r="E286" s="57"/>
      <c r="F286" s="57"/>
      <c r="G286" s="57"/>
      <c r="H286" s="58"/>
      <c r="I286" s="58"/>
      <c r="J286" s="58"/>
      <c r="K286" s="58"/>
      <c r="L286" s="57"/>
      <c r="M286" s="57"/>
      <c r="N286" s="57"/>
      <c r="O286" s="57"/>
      <c r="P286" s="58"/>
      <c r="Q286" s="58"/>
      <c r="R286" s="58"/>
      <c r="S286" s="58"/>
      <c r="T286" s="59"/>
      <c r="U286" s="59"/>
      <c r="V286" s="136"/>
      <c r="W286" s="136"/>
    </row>
    <row r="287" spans="1:23" ht="18" customHeight="1" x14ac:dyDescent="0.25">
      <c r="A287" s="55" t="s">
        <v>210</v>
      </c>
      <c r="B287" s="62" t="s">
        <v>202</v>
      </c>
      <c r="C287" s="45">
        <v>284</v>
      </c>
      <c r="D287" s="57"/>
      <c r="E287" s="57"/>
      <c r="F287" s="57"/>
      <c r="G287" s="57"/>
      <c r="H287" s="58"/>
      <c r="I287" s="58"/>
      <c r="J287" s="58"/>
      <c r="K287" s="58"/>
      <c r="L287" s="57"/>
      <c r="M287" s="57"/>
      <c r="N287" s="57"/>
      <c r="O287" s="57"/>
      <c r="P287" s="58"/>
      <c r="Q287" s="58"/>
      <c r="R287" s="58"/>
      <c r="S287" s="58"/>
      <c r="T287" s="59"/>
      <c r="U287" s="59"/>
      <c r="V287" s="136"/>
      <c r="W287" s="136"/>
    </row>
    <row r="288" spans="1:23" ht="18" customHeight="1" x14ac:dyDescent="0.25">
      <c r="A288" s="55" t="s">
        <v>210</v>
      </c>
      <c r="B288" s="62" t="s">
        <v>201</v>
      </c>
      <c r="C288" s="45">
        <v>285</v>
      </c>
      <c r="D288" s="57"/>
      <c r="E288" s="57"/>
      <c r="F288" s="57"/>
      <c r="G288" s="57"/>
      <c r="H288" s="58"/>
      <c r="I288" s="58"/>
      <c r="J288" s="58"/>
      <c r="K288" s="58"/>
      <c r="L288" s="57"/>
      <c r="M288" s="57"/>
      <c r="N288" s="57"/>
      <c r="O288" s="57"/>
      <c r="P288" s="58"/>
      <c r="Q288" s="58"/>
      <c r="R288" s="58"/>
      <c r="S288" s="58"/>
      <c r="T288" s="59"/>
      <c r="U288" s="59"/>
      <c r="V288" s="136"/>
      <c r="W288" s="136"/>
    </row>
    <row r="289" spans="1:23" ht="18" customHeight="1" x14ac:dyDescent="0.25">
      <c r="A289" s="55" t="s">
        <v>210</v>
      </c>
      <c r="B289" s="62" t="s">
        <v>200</v>
      </c>
      <c r="C289" s="45">
        <v>286</v>
      </c>
      <c r="D289" s="57"/>
      <c r="E289" s="57"/>
      <c r="F289" s="57"/>
      <c r="G289" s="57"/>
      <c r="H289" s="58"/>
      <c r="I289" s="58"/>
      <c r="J289" s="58"/>
      <c r="K289" s="58"/>
      <c r="L289" s="57"/>
      <c r="M289" s="57"/>
      <c r="N289" s="57"/>
      <c r="O289" s="57"/>
      <c r="P289" s="58"/>
      <c r="Q289" s="58"/>
      <c r="R289" s="58"/>
      <c r="S289" s="58"/>
      <c r="T289" s="59"/>
      <c r="U289" s="59"/>
      <c r="V289" s="136"/>
      <c r="W289" s="136"/>
    </row>
    <row r="290" spans="1:23" ht="18" customHeight="1" x14ac:dyDescent="0.25">
      <c r="A290" s="55" t="s">
        <v>210</v>
      </c>
      <c r="B290" s="62" t="s">
        <v>199</v>
      </c>
      <c r="C290" s="45">
        <v>287</v>
      </c>
      <c r="D290" s="57"/>
      <c r="E290" s="57"/>
      <c r="F290" s="57"/>
      <c r="G290" s="57"/>
      <c r="H290" s="58"/>
      <c r="I290" s="58"/>
      <c r="J290" s="58"/>
      <c r="K290" s="58"/>
      <c r="L290" s="57"/>
      <c r="M290" s="57"/>
      <c r="N290" s="57"/>
      <c r="O290" s="57"/>
      <c r="P290" s="58"/>
      <c r="Q290" s="58"/>
      <c r="R290" s="58"/>
      <c r="S290" s="58"/>
      <c r="T290" s="59"/>
      <c r="U290" s="59"/>
      <c r="V290" s="136"/>
      <c r="W290" s="136"/>
    </row>
    <row r="291" spans="1:23" ht="18" customHeight="1" x14ac:dyDescent="0.25">
      <c r="A291" s="55" t="s">
        <v>210</v>
      </c>
      <c r="B291" s="62" t="s">
        <v>198</v>
      </c>
      <c r="C291" s="45">
        <v>288</v>
      </c>
      <c r="D291" s="57"/>
      <c r="E291" s="57"/>
      <c r="F291" s="57"/>
      <c r="G291" s="57"/>
      <c r="H291" s="58"/>
      <c r="I291" s="58"/>
      <c r="J291" s="58"/>
      <c r="K291" s="58"/>
      <c r="L291" s="57"/>
      <c r="M291" s="57"/>
      <c r="N291" s="57"/>
      <c r="O291" s="57"/>
      <c r="P291" s="58"/>
      <c r="Q291" s="58"/>
      <c r="R291" s="58"/>
      <c r="S291" s="58"/>
      <c r="T291" s="59"/>
      <c r="U291" s="59"/>
      <c r="V291" s="136"/>
      <c r="W291" s="136"/>
    </row>
    <row r="292" spans="1:23" ht="18" customHeight="1" x14ac:dyDescent="0.25">
      <c r="A292" s="55" t="s">
        <v>210</v>
      </c>
      <c r="B292" s="62" t="s">
        <v>197</v>
      </c>
      <c r="C292" s="45">
        <v>289</v>
      </c>
      <c r="D292" s="57"/>
      <c r="E292" s="57"/>
      <c r="F292" s="57"/>
      <c r="G292" s="57"/>
      <c r="H292" s="58"/>
      <c r="I292" s="58"/>
      <c r="J292" s="58"/>
      <c r="K292" s="58"/>
      <c r="L292" s="57"/>
      <c r="M292" s="57"/>
      <c r="N292" s="57"/>
      <c r="O292" s="57"/>
      <c r="P292" s="58"/>
      <c r="Q292" s="58"/>
      <c r="R292" s="58"/>
      <c r="S292" s="58"/>
      <c r="T292" s="59"/>
      <c r="U292" s="59"/>
      <c r="V292" s="136"/>
      <c r="W292" s="136"/>
    </row>
    <row r="293" spans="1:23" ht="18" customHeight="1" x14ac:dyDescent="0.25">
      <c r="A293" s="55" t="s">
        <v>210</v>
      </c>
      <c r="B293" s="62" t="s">
        <v>196</v>
      </c>
      <c r="C293" s="45">
        <v>290</v>
      </c>
      <c r="D293" s="57"/>
      <c r="E293" s="57"/>
      <c r="F293" s="57"/>
      <c r="G293" s="57"/>
      <c r="H293" s="58">
        <v>1</v>
      </c>
      <c r="I293" s="58"/>
      <c r="J293" s="58"/>
      <c r="K293" s="58"/>
      <c r="L293" s="57"/>
      <c r="M293" s="57"/>
      <c r="N293" s="57"/>
      <c r="O293" s="57"/>
      <c r="P293" s="58"/>
      <c r="Q293" s="58"/>
      <c r="R293" s="58"/>
      <c r="S293" s="58"/>
      <c r="T293" s="59"/>
      <c r="U293" s="59"/>
      <c r="V293" s="136"/>
      <c r="W293" s="136"/>
    </row>
    <row r="294" spans="1:23" ht="18" customHeight="1" x14ac:dyDescent="0.25">
      <c r="A294" s="49" t="s">
        <v>195</v>
      </c>
      <c r="B294" s="50"/>
      <c r="C294" s="45">
        <v>291</v>
      </c>
      <c r="D294" s="51">
        <f t="shared" ref="D294:W294" si="50">SUM(D295:D301)</f>
        <v>0</v>
      </c>
      <c r="E294" s="51">
        <f t="shared" si="50"/>
        <v>0</v>
      </c>
      <c r="F294" s="51">
        <f t="shared" si="50"/>
        <v>0</v>
      </c>
      <c r="G294" s="51">
        <f t="shared" si="50"/>
        <v>0</v>
      </c>
      <c r="H294" s="53">
        <f t="shared" si="50"/>
        <v>8</v>
      </c>
      <c r="I294" s="53">
        <f t="shared" si="50"/>
        <v>3</v>
      </c>
      <c r="J294" s="53">
        <f t="shared" si="50"/>
        <v>3</v>
      </c>
      <c r="K294" s="53">
        <f t="shared" si="50"/>
        <v>4</v>
      </c>
      <c r="L294" s="51">
        <f t="shared" si="50"/>
        <v>0</v>
      </c>
      <c r="M294" s="51">
        <f t="shared" si="50"/>
        <v>0</v>
      </c>
      <c r="N294" s="51">
        <f t="shared" si="50"/>
        <v>0</v>
      </c>
      <c r="O294" s="51">
        <f t="shared" si="50"/>
        <v>0</v>
      </c>
      <c r="P294" s="53">
        <f t="shared" si="50"/>
        <v>0</v>
      </c>
      <c r="Q294" s="53">
        <f t="shared" si="50"/>
        <v>0</v>
      </c>
      <c r="R294" s="53">
        <f t="shared" si="50"/>
        <v>0</v>
      </c>
      <c r="S294" s="53">
        <f t="shared" si="50"/>
        <v>0</v>
      </c>
      <c r="T294" s="54">
        <f t="shared" si="50"/>
        <v>4</v>
      </c>
      <c r="U294" s="54">
        <f t="shared" si="50"/>
        <v>0</v>
      </c>
      <c r="V294" s="135">
        <f t="shared" si="50"/>
        <v>3</v>
      </c>
      <c r="W294" s="135">
        <f t="shared" si="50"/>
        <v>0</v>
      </c>
    </row>
    <row r="295" spans="1:23" ht="18" customHeight="1" x14ac:dyDescent="0.25">
      <c r="A295" s="55" t="s">
        <v>195</v>
      </c>
      <c r="B295" s="62" t="s">
        <v>194</v>
      </c>
      <c r="C295" s="45">
        <v>292</v>
      </c>
      <c r="D295" s="57"/>
      <c r="E295" s="57"/>
      <c r="F295" s="57"/>
      <c r="G295" s="57"/>
      <c r="H295" s="58"/>
      <c r="I295" s="58"/>
      <c r="J295" s="58"/>
      <c r="K295" s="58"/>
      <c r="L295" s="57"/>
      <c r="M295" s="57"/>
      <c r="N295" s="57"/>
      <c r="O295" s="57"/>
      <c r="P295" s="58"/>
      <c r="Q295" s="58"/>
      <c r="R295" s="58"/>
      <c r="S295" s="58"/>
      <c r="T295" s="59"/>
      <c r="U295" s="59"/>
      <c r="V295" s="136"/>
      <c r="W295" s="136"/>
    </row>
    <row r="296" spans="1:23" ht="18" customHeight="1" x14ac:dyDescent="0.25">
      <c r="A296" s="55" t="s">
        <v>195</v>
      </c>
      <c r="B296" s="62" t="s">
        <v>193</v>
      </c>
      <c r="C296" s="45">
        <v>293</v>
      </c>
      <c r="D296" s="57"/>
      <c r="E296" s="57"/>
      <c r="F296" s="57"/>
      <c r="G296" s="57"/>
      <c r="H296" s="58"/>
      <c r="I296" s="58"/>
      <c r="J296" s="58"/>
      <c r="K296" s="58"/>
      <c r="L296" s="57"/>
      <c r="M296" s="57"/>
      <c r="N296" s="57"/>
      <c r="O296" s="57"/>
      <c r="P296" s="58"/>
      <c r="Q296" s="58"/>
      <c r="R296" s="58"/>
      <c r="S296" s="58"/>
      <c r="T296" s="59"/>
      <c r="U296" s="59"/>
      <c r="V296" s="136"/>
      <c r="W296" s="136"/>
    </row>
    <row r="297" spans="1:23" ht="18" customHeight="1" x14ac:dyDescent="0.25">
      <c r="A297" s="55" t="s">
        <v>195</v>
      </c>
      <c r="B297" s="62" t="s">
        <v>192</v>
      </c>
      <c r="C297" s="45">
        <v>294</v>
      </c>
      <c r="D297" s="57"/>
      <c r="E297" s="57"/>
      <c r="F297" s="57"/>
      <c r="G297" s="57"/>
      <c r="H297" s="58">
        <v>8</v>
      </c>
      <c r="I297" s="58">
        <v>3</v>
      </c>
      <c r="J297" s="58">
        <v>3</v>
      </c>
      <c r="K297" s="58">
        <v>4</v>
      </c>
      <c r="L297" s="57"/>
      <c r="M297" s="57"/>
      <c r="N297" s="57"/>
      <c r="O297" s="57"/>
      <c r="P297" s="58"/>
      <c r="Q297" s="58"/>
      <c r="R297" s="58"/>
      <c r="S297" s="58"/>
      <c r="T297" s="59">
        <v>4</v>
      </c>
      <c r="U297" s="59"/>
      <c r="V297" s="136">
        <v>3</v>
      </c>
      <c r="W297" s="136"/>
    </row>
    <row r="298" spans="1:23" ht="18" customHeight="1" x14ac:dyDescent="0.25">
      <c r="A298" s="55" t="s">
        <v>195</v>
      </c>
      <c r="B298" s="62" t="s">
        <v>191</v>
      </c>
      <c r="C298" s="45">
        <v>295</v>
      </c>
      <c r="D298" s="57"/>
      <c r="E298" s="57"/>
      <c r="F298" s="57"/>
      <c r="G298" s="57"/>
      <c r="H298" s="58"/>
      <c r="I298" s="58"/>
      <c r="J298" s="58"/>
      <c r="K298" s="58"/>
      <c r="L298" s="57"/>
      <c r="M298" s="57"/>
      <c r="N298" s="57"/>
      <c r="O298" s="57"/>
      <c r="P298" s="58"/>
      <c r="Q298" s="58"/>
      <c r="R298" s="58"/>
      <c r="S298" s="58"/>
      <c r="T298" s="59"/>
      <c r="U298" s="59"/>
      <c r="V298" s="136"/>
      <c r="W298" s="136"/>
    </row>
    <row r="299" spans="1:23" ht="18" customHeight="1" x14ac:dyDescent="0.25">
      <c r="A299" s="55"/>
      <c r="B299" s="62" t="s">
        <v>937</v>
      </c>
      <c r="C299" s="45">
        <v>296</v>
      </c>
      <c r="D299" s="57"/>
      <c r="E299" s="57"/>
      <c r="F299" s="57"/>
      <c r="G299" s="57"/>
      <c r="H299" s="58"/>
      <c r="I299" s="58"/>
      <c r="J299" s="58"/>
      <c r="K299" s="58"/>
      <c r="L299" s="57"/>
      <c r="M299" s="57"/>
      <c r="N299" s="57"/>
      <c r="O299" s="57"/>
      <c r="P299" s="58"/>
      <c r="Q299" s="58"/>
      <c r="R299" s="58"/>
      <c r="S299" s="58"/>
      <c r="T299" s="59"/>
      <c r="U299" s="59"/>
      <c r="V299" s="136"/>
      <c r="W299" s="136"/>
    </row>
    <row r="300" spans="1:23" ht="18" customHeight="1" x14ac:dyDescent="0.25">
      <c r="A300" s="55" t="s">
        <v>195</v>
      </c>
      <c r="B300" s="62" t="s">
        <v>190</v>
      </c>
      <c r="C300" s="45">
        <v>297</v>
      </c>
      <c r="D300" s="57"/>
      <c r="E300" s="57"/>
      <c r="F300" s="57"/>
      <c r="G300" s="57"/>
      <c r="H300" s="58"/>
      <c r="I300" s="58"/>
      <c r="J300" s="58"/>
      <c r="K300" s="58"/>
      <c r="L300" s="57"/>
      <c r="M300" s="57"/>
      <c r="N300" s="57"/>
      <c r="O300" s="57"/>
      <c r="P300" s="58"/>
      <c r="Q300" s="58"/>
      <c r="R300" s="58"/>
      <c r="S300" s="58"/>
      <c r="T300" s="59"/>
      <c r="U300" s="59"/>
      <c r="V300" s="136"/>
      <c r="W300" s="136"/>
    </row>
    <row r="301" spans="1:23" ht="18" customHeight="1" x14ac:dyDescent="0.25">
      <c r="A301" s="55" t="s">
        <v>195</v>
      </c>
      <c r="B301" s="61" t="s">
        <v>189</v>
      </c>
      <c r="C301" s="45">
        <v>298</v>
      </c>
      <c r="D301" s="57"/>
      <c r="E301" s="57"/>
      <c r="F301" s="57"/>
      <c r="G301" s="57"/>
      <c r="H301" s="58"/>
      <c r="I301" s="58"/>
      <c r="J301" s="58"/>
      <c r="K301" s="58"/>
      <c r="L301" s="57"/>
      <c r="M301" s="57"/>
      <c r="N301" s="57"/>
      <c r="O301" s="57"/>
      <c r="P301" s="58"/>
      <c r="Q301" s="58"/>
      <c r="R301" s="58"/>
      <c r="S301" s="58"/>
      <c r="T301" s="59"/>
      <c r="U301" s="59"/>
      <c r="V301" s="136"/>
      <c r="W301" s="136"/>
    </row>
    <row r="302" spans="1:23" ht="18" customHeight="1" x14ac:dyDescent="0.25">
      <c r="A302" s="49" t="s">
        <v>188</v>
      </c>
      <c r="B302" s="50"/>
      <c r="C302" s="45">
        <v>299</v>
      </c>
      <c r="D302" s="51">
        <f>SUM(D303:D313)</f>
        <v>0</v>
      </c>
      <c r="E302" s="51">
        <f t="shared" ref="E302:U302" si="51">SUM(E303:E313)</f>
        <v>0</v>
      </c>
      <c r="F302" s="51">
        <f t="shared" si="51"/>
        <v>0</v>
      </c>
      <c r="G302" s="51">
        <f t="shared" si="51"/>
        <v>0</v>
      </c>
      <c r="H302" s="53">
        <f t="shared" si="51"/>
        <v>31</v>
      </c>
      <c r="I302" s="53">
        <f t="shared" si="51"/>
        <v>15</v>
      </c>
      <c r="J302" s="53">
        <f t="shared" si="51"/>
        <v>16</v>
      </c>
      <c r="K302" s="53">
        <f t="shared" si="51"/>
        <v>7</v>
      </c>
      <c r="L302" s="51">
        <f t="shared" si="51"/>
        <v>0</v>
      </c>
      <c r="M302" s="51">
        <f t="shared" si="51"/>
        <v>0</v>
      </c>
      <c r="N302" s="51">
        <f t="shared" si="51"/>
        <v>0</v>
      </c>
      <c r="O302" s="51">
        <f t="shared" si="51"/>
        <v>0</v>
      </c>
      <c r="P302" s="53">
        <f t="shared" si="51"/>
        <v>0</v>
      </c>
      <c r="Q302" s="53">
        <f t="shared" si="51"/>
        <v>0</v>
      </c>
      <c r="R302" s="53">
        <f t="shared" si="51"/>
        <v>0</v>
      </c>
      <c r="S302" s="53">
        <f t="shared" si="51"/>
        <v>0</v>
      </c>
      <c r="T302" s="54">
        <f t="shared" si="51"/>
        <v>6</v>
      </c>
      <c r="U302" s="54">
        <f t="shared" si="51"/>
        <v>0</v>
      </c>
      <c r="V302" s="135">
        <f t="shared" ref="V302:W302" si="52">SUM(V303:V313)</f>
        <v>0</v>
      </c>
      <c r="W302" s="135">
        <f t="shared" si="52"/>
        <v>0</v>
      </c>
    </row>
    <row r="303" spans="1:23" ht="18" customHeight="1" x14ac:dyDescent="0.25">
      <c r="A303" s="55" t="s">
        <v>188</v>
      </c>
      <c r="B303" s="61" t="s">
        <v>187</v>
      </c>
      <c r="C303" s="45">
        <v>300</v>
      </c>
      <c r="D303" s="57"/>
      <c r="E303" s="57"/>
      <c r="F303" s="57"/>
      <c r="G303" s="57"/>
      <c r="H303" s="58">
        <v>2</v>
      </c>
      <c r="I303" s="58">
        <v>1</v>
      </c>
      <c r="J303" s="58">
        <v>1</v>
      </c>
      <c r="K303" s="58">
        <v>1</v>
      </c>
      <c r="L303" s="57"/>
      <c r="M303" s="57"/>
      <c r="N303" s="57"/>
      <c r="O303" s="57"/>
      <c r="P303" s="58"/>
      <c r="Q303" s="58"/>
      <c r="R303" s="58"/>
      <c r="S303" s="58"/>
      <c r="T303" s="59"/>
      <c r="U303" s="59"/>
      <c r="V303" s="136"/>
      <c r="W303" s="136"/>
    </row>
    <row r="304" spans="1:23" ht="18" customHeight="1" x14ac:dyDescent="0.25">
      <c r="A304" s="55" t="s">
        <v>188</v>
      </c>
      <c r="B304" s="61" t="s">
        <v>186</v>
      </c>
      <c r="C304" s="45">
        <v>301</v>
      </c>
      <c r="D304" s="57"/>
      <c r="E304" s="57"/>
      <c r="F304" s="57"/>
      <c r="G304" s="57"/>
      <c r="H304" s="58"/>
      <c r="I304" s="58"/>
      <c r="J304" s="58"/>
      <c r="K304" s="58"/>
      <c r="L304" s="57"/>
      <c r="M304" s="57"/>
      <c r="N304" s="57"/>
      <c r="O304" s="57"/>
      <c r="P304" s="58"/>
      <c r="Q304" s="58"/>
      <c r="R304" s="58"/>
      <c r="S304" s="58"/>
      <c r="T304" s="59"/>
      <c r="U304" s="59"/>
      <c r="V304" s="136"/>
      <c r="W304" s="136"/>
    </row>
    <row r="305" spans="1:23" ht="18" customHeight="1" x14ac:dyDescent="0.25">
      <c r="A305" s="55" t="s">
        <v>188</v>
      </c>
      <c r="B305" s="62" t="s">
        <v>185</v>
      </c>
      <c r="C305" s="45">
        <v>302</v>
      </c>
      <c r="D305" s="57"/>
      <c r="E305" s="57"/>
      <c r="F305" s="57"/>
      <c r="G305" s="57"/>
      <c r="H305" s="58"/>
      <c r="I305" s="58"/>
      <c r="J305" s="58"/>
      <c r="K305" s="58"/>
      <c r="L305" s="57"/>
      <c r="M305" s="57"/>
      <c r="N305" s="57"/>
      <c r="O305" s="57"/>
      <c r="P305" s="58"/>
      <c r="Q305" s="58"/>
      <c r="R305" s="58"/>
      <c r="S305" s="58"/>
      <c r="T305" s="59"/>
      <c r="U305" s="59"/>
      <c r="V305" s="136"/>
      <c r="W305" s="136"/>
    </row>
    <row r="306" spans="1:23" ht="18" customHeight="1" x14ac:dyDescent="0.25">
      <c r="A306" s="55" t="s">
        <v>188</v>
      </c>
      <c r="B306" s="62" t="s">
        <v>184</v>
      </c>
      <c r="C306" s="45">
        <v>303</v>
      </c>
      <c r="D306" s="57"/>
      <c r="E306" s="57"/>
      <c r="F306" s="57"/>
      <c r="G306" s="57"/>
      <c r="H306" s="58"/>
      <c r="I306" s="58"/>
      <c r="J306" s="58"/>
      <c r="K306" s="58"/>
      <c r="L306" s="57"/>
      <c r="M306" s="57"/>
      <c r="N306" s="57"/>
      <c r="O306" s="57"/>
      <c r="P306" s="58"/>
      <c r="Q306" s="58"/>
      <c r="R306" s="58"/>
      <c r="S306" s="58"/>
      <c r="T306" s="59"/>
      <c r="U306" s="59"/>
      <c r="V306" s="136"/>
      <c r="W306" s="136"/>
    </row>
    <row r="307" spans="1:23" ht="18" customHeight="1" x14ac:dyDescent="0.25">
      <c r="A307" s="55" t="s">
        <v>188</v>
      </c>
      <c r="B307" s="62" t="s">
        <v>183</v>
      </c>
      <c r="C307" s="45">
        <v>304</v>
      </c>
      <c r="D307" s="57"/>
      <c r="E307" s="57"/>
      <c r="F307" s="57"/>
      <c r="G307" s="57"/>
      <c r="H307" s="58">
        <v>2</v>
      </c>
      <c r="I307" s="58">
        <v>1</v>
      </c>
      <c r="J307" s="58">
        <v>1</v>
      </c>
      <c r="K307" s="58"/>
      <c r="L307" s="57"/>
      <c r="M307" s="57"/>
      <c r="N307" s="57"/>
      <c r="O307" s="57"/>
      <c r="P307" s="58"/>
      <c r="Q307" s="58"/>
      <c r="R307" s="58"/>
      <c r="S307" s="58"/>
      <c r="T307" s="59"/>
      <c r="U307" s="59"/>
      <c r="V307" s="136"/>
      <c r="W307" s="136"/>
    </row>
    <row r="308" spans="1:23" ht="18" customHeight="1" x14ac:dyDescent="0.25">
      <c r="A308" s="55" t="s">
        <v>188</v>
      </c>
      <c r="B308" s="62" t="s">
        <v>182</v>
      </c>
      <c r="C308" s="45">
        <v>305</v>
      </c>
      <c r="D308" s="57"/>
      <c r="E308" s="57"/>
      <c r="F308" s="57"/>
      <c r="G308" s="57"/>
      <c r="H308" s="58">
        <v>23</v>
      </c>
      <c r="I308" s="58">
        <v>13</v>
      </c>
      <c r="J308" s="58">
        <v>14</v>
      </c>
      <c r="K308" s="58">
        <v>6</v>
      </c>
      <c r="L308" s="57"/>
      <c r="M308" s="57"/>
      <c r="N308" s="57"/>
      <c r="O308" s="57"/>
      <c r="P308" s="58"/>
      <c r="Q308" s="58"/>
      <c r="R308" s="58"/>
      <c r="S308" s="58"/>
      <c r="T308" s="59">
        <v>6</v>
      </c>
      <c r="U308" s="59"/>
      <c r="V308" s="136"/>
      <c r="W308" s="136"/>
    </row>
    <row r="309" spans="1:23" ht="18" customHeight="1" x14ac:dyDescent="0.25">
      <c r="A309" s="55" t="s">
        <v>188</v>
      </c>
      <c r="B309" s="62" t="s">
        <v>181</v>
      </c>
      <c r="C309" s="45">
        <v>306</v>
      </c>
      <c r="D309" s="57"/>
      <c r="E309" s="57"/>
      <c r="F309" s="57"/>
      <c r="G309" s="57"/>
      <c r="H309" s="58"/>
      <c r="I309" s="58"/>
      <c r="J309" s="58"/>
      <c r="K309" s="58"/>
      <c r="L309" s="57"/>
      <c r="M309" s="57"/>
      <c r="N309" s="57"/>
      <c r="O309" s="57"/>
      <c r="P309" s="58"/>
      <c r="Q309" s="58"/>
      <c r="R309" s="58"/>
      <c r="S309" s="58"/>
      <c r="T309" s="59"/>
      <c r="U309" s="59"/>
      <c r="V309" s="136"/>
      <c r="W309" s="136"/>
    </row>
    <row r="310" spans="1:23" ht="18" customHeight="1" x14ac:dyDescent="0.25">
      <c r="A310" s="55" t="s">
        <v>188</v>
      </c>
      <c r="B310" s="63" t="s">
        <v>180</v>
      </c>
      <c r="C310" s="45">
        <v>307</v>
      </c>
      <c r="D310" s="57"/>
      <c r="E310" s="57"/>
      <c r="F310" s="57"/>
      <c r="G310" s="57"/>
      <c r="H310" s="58">
        <v>4</v>
      </c>
      <c r="I310" s="58"/>
      <c r="J310" s="58"/>
      <c r="K310" s="58"/>
      <c r="L310" s="57"/>
      <c r="M310" s="57"/>
      <c r="N310" s="57"/>
      <c r="O310" s="57"/>
      <c r="P310" s="58"/>
      <c r="Q310" s="58"/>
      <c r="R310" s="58"/>
      <c r="S310" s="58"/>
      <c r="T310" s="59"/>
      <c r="U310" s="59"/>
      <c r="V310" s="136"/>
      <c r="W310" s="136"/>
    </row>
    <row r="311" spans="1:23" ht="18" customHeight="1" x14ac:dyDescent="0.25">
      <c r="A311" s="55" t="s">
        <v>188</v>
      </c>
      <c r="B311" s="62" t="s">
        <v>179</v>
      </c>
      <c r="C311" s="45">
        <v>308</v>
      </c>
      <c r="D311" s="57"/>
      <c r="E311" s="57"/>
      <c r="F311" s="57"/>
      <c r="G311" s="57"/>
      <c r="H311" s="58"/>
      <c r="I311" s="58"/>
      <c r="J311" s="58"/>
      <c r="K311" s="58"/>
      <c r="L311" s="57"/>
      <c r="M311" s="57"/>
      <c r="N311" s="57"/>
      <c r="O311" s="57"/>
      <c r="P311" s="58"/>
      <c r="Q311" s="58"/>
      <c r="R311" s="58"/>
      <c r="S311" s="58"/>
      <c r="T311" s="59"/>
      <c r="U311" s="59"/>
      <c r="V311" s="136"/>
      <c r="W311" s="136"/>
    </row>
    <row r="312" spans="1:23" ht="18" customHeight="1" x14ac:dyDescent="0.25">
      <c r="A312" s="55" t="s">
        <v>188</v>
      </c>
      <c r="B312" s="62" t="s">
        <v>178</v>
      </c>
      <c r="C312" s="45">
        <v>309</v>
      </c>
      <c r="D312" s="57"/>
      <c r="E312" s="57"/>
      <c r="F312" s="57"/>
      <c r="G312" s="57"/>
      <c r="H312" s="58"/>
      <c r="I312" s="58"/>
      <c r="J312" s="58"/>
      <c r="K312" s="58"/>
      <c r="L312" s="57"/>
      <c r="M312" s="57"/>
      <c r="N312" s="57"/>
      <c r="O312" s="57"/>
      <c r="P312" s="58"/>
      <c r="Q312" s="58"/>
      <c r="R312" s="58"/>
      <c r="S312" s="58"/>
      <c r="T312" s="59"/>
      <c r="U312" s="59"/>
      <c r="V312" s="136"/>
      <c r="W312" s="136"/>
    </row>
    <row r="313" spans="1:23" ht="18" customHeight="1" x14ac:dyDescent="0.25">
      <c r="A313" s="55" t="s">
        <v>188</v>
      </c>
      <c r="B313" s="62" t="s">
        <v>177</v>
      </c>
      <c r="C313" s="45">
        <v>310</v>
      </c>
      <c r="D313" s="57"/>
      <c r="E313" s="57"/>
      <c r="F313" s="57"/>
      <c r="G313" s="57"/>
      <c r="H313" s="58"/>
      <c r="I313" s="58"/>
      <c r="J313" s="58"/>
      <c r="K313" s="58"/>
      <c r="L313" s="57"/>
      <c r="M313" s="57"/>
      <c r="N313" s="57"/>
      <c r="O313" s="57"/>
      <c r="P313" s="58"/>
      <c r="Q313" s="58"/>
      <c r="R313" s="58"/>
      <c r="S313" s="58"/>
      <c r="T313" s="59"/>
      <c r="U313" s="59"/>
      <c r="V313" s="136"/>
      <c r="W313" s="136"/>
    </row>
    <row r="314" spans="1:23" ht="18" customHeight="1" x14ac:dyDescent="0.25">
      <c r="A314" s="49" t="s">
        <v>176</v>
      </c>
      <c r="B314" s="50"/>
      <c r="C314" s="45">
        <v>311</v>
      </c>
      <c r="D314" s="51">
        <f>D315+D317+D329</f>
        <v>0</v>
      </c>
      <c r="E314" s="51">
        <f t="shared" ref="E314:W314" si="53">E315+E317+E329</f>
        <v>0</v>
      </c>
      <c r="F314" s="51">
        <f t="shared" si="53"/>
        <v>0</v>
      </c>
      <c r="G314" s="51">
        <f t="shared" si="53"/>
        <v>0</v>
      </c>
      <c r="H314" s="53">
        <f t="shared" si="53"/>
        <v>0</v>
      </c>
      <c r="I314" s="53">
        <f t="shared" si="53"/>
        <v>0</v>
      </c>
      <c r="J314" s="53">
        <f t="shared" si="53"/>
        <v>0</v>
      </c>
      <c r="K314" s="53">
        <f t="shared" si="53"/>
        <v>0</v>
      </c>
      <c r="L314" s="51">
        <f t="shared" si="53"/>
        <v>0</v>
      </c>
      <c r="M314" s="51">
        <f t="shared" si="53"/>
        <v>0</v>
      </c>
      <c r="N314" s="51">
        <f t="shared" si="53"/>
        <v>0</v>
      </c>
      <c r="O314" s="51">
        <f t="shared" si="53"/>
        <v>0</v>
      </c>
      <c r="P314" s="53">
        <f t="shared" si="53"/>
        <v>0</v>
      </c>
      <c r="Q314" s="53">
        <f t="shared" si="53"/>
        <v>0</v>
      </c>
      <c r="R314" s="53">
        <f t="shared" si="53"/>
        <v>0</v>
      </c>
      <c r="S314" s="53">
        <f t="shared" si="53"/>
        <v>0</v>
      </c>
      <c r="T314" s="54">
        <f t="shared" si="53"/>
        <v>0</v>
      </c>
      <c r="U314" s="54">
        <f t="shared" si="53"/>
        <v>0</v>
      </c>
      <c r="V314" s="135">
        <f t="shared" si="53"/>
        <v>0</v>
      </c>
      <c r="W314" s="135">
        <f t="shared" si="53"/>
        <v>0</v>
      </c>
    </row>
    <row r="315" spans="1:23" ht="18" customHeight="1" x14ac:dyDescent="0.25">
      <c r="A315" s="49" t="s">
        <v>175</v>
      </c>
      <c r="B315" s="50"/>
      <c r="C315" s="45">
        <v>312</v>
      </c>
      <c r="D315" s="51">
        <f>SUM(D316)</f>
        <v>0</v>
      </c>
      <c r="E315" s="51">
        <f t="shared" ref="E315:U315" si="54">SUM(E316)</f>
        <v>0</v>
      </c>
      <c r="F315" s="51">
        <f t="shared" si="54"/>
        <v>0</v>
      </c>
      <c r="G315" s="51">
        <f t="shared" si="54"/>
        <v>0</v>
      </c>
      <c r="H315" s="53">
        <f t="shared" si="54"/>
        <v>0</v>
      </c>
      <c r="I315" s="53">
        <f t="shared" si="54"/>
        <v>0</v>
      </c>
      <c r="J315" s="53">
        <f t="shared" si="54"/>
        <v>0</v>
      </c>
      <c r="K315" s="53">
        <f t="shared" si="54"/>
        <v>0</v>
      </c>
      <c r="L315" s="51">
        <f t="shared" si="54"/>
        <v>0</v>
      </c>
      <c r="M315" s="51">
        <f t="shared" si="54"/>
        <v>0</v>
      </c>
      <c r="N315" s="51">
        <f t="shared" si="54"/>
        <v>0</v>
      </c>
      <c r="O315" s="51">
        <f t="shared" si="54"/>
        <v>0</v>
      </c>
      <c r="P315" s="53">
        <f t="shared" si="54"/>
        <v>0</v>
      </c>
      <c r="Q315" s="53">
        <f t="shared" si="54"/>
        <v>0</v>
      </c>
      <c r="R315" s="53">
        <f t="shared" si="54"/>
        <v>0</v>
      </c>
      <c r="S315" s="53">
        <f t="shared" si="54"/>
        <v>0</v>
      </c>
      <c r="T315" s="54">
        <f t="shared" si="54"/>
        <v>0</v>
      </c>
      <c r="U315" s="54">
        <f t="shared" si="54"/>
        <v>0</v>
      </c>
      <c r="V315" s="135">
        <f>SUM(V316)</f>
        <v>0</v>
      </c>
      <c r="W315" s="135">
        <f>SUM(W316)</f>
        <v>0</v>
      </c>
    </row>
    <row r="316" spans="1:23" ht="18" customHeight="1" x14ac:dyDescent="0.25">
      <c r="A316" s="55" t="s">
        <v>175</v>
      </c>
      <c r="B316" s="62" t="s">
        <v>174</v>
      </c>
      <c r="C316" s="45">
        <v>313</v>
      </c>
      <c r="D316" s="57"/>
      <c r="E316" s="57"/>
      <c r="F316" s="57"/>
      <c r="G316" s="57"/>
      <c r="H316" s="58"/>
      <c r="I316" s="58"/>
      <c r="J316" s="58"/>
      <c r="K316" s="58"/>
      <c r="L316" s="57"/>
      <c r="M316" s="57"/>
      <c r="N316" s="57"/>
      <c r="O316" s="57"/>
      <c r="P316" s="58"/>
      <c r="Q316" s="58"/>
      <c r="R316" s="58"/>
      <c r="S316" s="58"/>
      <c r="T316" s="59"/>
      <c r="U316" s="59"/>
      <c r="V316" s="136"/>
      <c r="W316" s="136"/>
    </row>
    <row r="317" spans="1:23" ht="18" customHeight="1" x14ac:dyDescent="0.25">
      <c r="A317" s="49" t="s">
        <v>173</v>
      </c>
      <c r="B317" s="50"/>
      <c r="C317" s="45">
        <v>314</v>
      </c>
      <c r="D317" s="51">
        <f>SUM(D318:D328)</f>
        <v>0</v>
      </c>
      <c r="E317" s="51">
        <f t="shared" ref="E317:U317" si="55">SUM(E318:E328)</f>
        <v>0</v>
      </c>
      <c r="F317" s="51">
        <f t="shared" si="55"/>
        <v>0</v>
      </c>
      <c r="G317" s="51">
        <f t="shared" si="55"/>
        <v>0</v>
      </c>
      <c r="H317" s="53">
        <f t="shared" si="55"/>
        <v>0</v>
      </c>
      <c r="I317" s="53">
        <f t="shared" si="55"/>
        <v>0</v>
      </c>
      <c r="J317" s="53">
        <f t="shared" si="55"/>
        <v>0</v>
      </c>
      <c r="K317" s="53">
        <f t="shared" si="55"/>
        <v>0</v>
      </c>
      <c r="L317" s="51">
        <f t="shared" si="55"/>
        <v>0</v>
      </c>
      <c r="M317" s="51">
        <f t="shared" si="55"/>
        <v>0</v>
      </c>
      <c r="N317" s="51">
        <f t="shared" si="55"/>
        <v>0</v>
      </c>
      <c r="O317" s="51">
        <f t="shared" si="55"/>
        <v>0</v>
      </c>
      <c r="P317" s="53">
        <f t="shared" si="55"/>
        <v>0</v>
      </c>
      <c r="Q317" s="53">
        <f t="shared" si="55"/>
        <v>0</v>
      </c>
      <c r="R317" s="53">
        <f t="shared" si="55"/>
        <v>0</v>
      </c>
      <c r="S317" s="53">
        <f t="shared" si="55"/>
        <v>0</v>
      </c>
      <c r="T317" s="54">
        <f t="shared" si="55"/>
        <v>0</v>
      </c>
      <c r="U317" s="54">
        <f t="shared" si="55"/>
        <v>0</v>
      </c>
      <c r="V317" s="135">
        <f t="shared" ref="V317:W317" si="56">SUM(V318:V328)</f>
        <v>0</v>
      </c>
      <c r="W317" s="135">
        <f t="shared" si="56"/>
        <v>0</v>
      </c>
    </row>
    <row r="318" spans="1:23" ht="18" customHeight="1" x14ac:dyDescent="0.25">
      <c r="A318" s="55" t="s">
        <v>173</v>
      </c>
      <c r="B318" s="62" t="s">
        <v>172</v>
      </c>
      <c r="C318" s="45">
        <v>315</v>
      </c>
      <c r="D318" s="57"/>
      <c r="E318" s="57"/>
      <c r="F318" s="57"/>
      <c r="G318" s="57"/>
      <c r="H318" s="58"/>
      <c r="I318" s="58"/>
      <c r="J318" s="58"/>
      <c r="K318" s="58"/>
      <c r="L318" s="57"/>
      <c r="M318" s="57"/>
      <c r="N318" s="57"/>
      <c r="O318" s="57"/>
      <c r="P318" s="58"/>
      <c r="Q318" s="58"/>
      <c r="R318" s="58"/>
      <c r="S318" s="58"/>
      <c r="T318" s="59"/>
      <c r="U318" s="59"/>
      <c r="V318" s="136"/>
      <c r="W318" s="136"/>
    </row>
    <row r="319" spans="1:23" ht="18" customHeight="1" x14ac:dyDescent="0.25">
      <c r="A319" s="55" t="s">
        <v>173</v>
      </c>
      <c r="B319" s="62" t="s">
        <v>171</v>
      </c>
      <c r="C319" s="45">
        <v>316</v>
      </c>
      <c r="D319" s="57"/>
      <c r="E319" s="57"/>
      <c r="F319" s="57"/>
      <c r="G319" s="57"/>
      <c r="H319" s="58"/>
      <c r="I319" s="58"/>
      <c r="J319" s="58"/>
      <c r="K319" s="58"/>
      <c r="L319" s="57"/>
      <c r="M319" s="57"/>
      <c r="N319" s="57"/>
      <c r="O319" s="57"/>
      <c r="P319" s="58"/>
      <c r="Q319" s="58"/>
      <c r="R319" s="58"/>
      <c r="S319" s="58"/>
      <c r="T319" s="59"/>
      <c r="U319" s="59"/>
      <c r="V319" s="136"/>
      <c r="W319" s="136"/>
    </row>
    <row r="320" spans="1:23" ht="18" customHeight="1" x14ac:dyDescent="0.25">
      <c r="A320" s="55" t="s">
        <v>173</v>
      </c>
      <c r="B320" s="62" t="s">
        <v>170</v>
      </c>
      <c r="C320" s="45">
        <v>317</v>
      </c>
      <c r="D320" s="57"/>
      <c r="E320" s="57"/>
      <c r="F320" s="57"/>
      <c r="G320" s="57"/>
      <c r="H320" s="58"/>
      <c r="I320" s="58"/>
      <c r="J320" s="58"/>
      <c r="K320" s="58"/>
      <c r="L320" s="57"/>
      <c r="M320" s="57"/>
      <c r="N320" s="57"/>
      <c r="O320" s="57"/>
      <c r="P320" s="58"/>
      <c r="Q320" s="58"/>
      <c r="R320" s="58"/>
      <c r="S320" s="58"/>
      <c r="T320" s="59"/>
      <c r="U320" s="59"/>
      <c r="V320" s="136"/>
      <c r="W320" s="136"/>
    </row>
    <row r="321" spans="1:23" ht="18" customHeight="1" x14ac:dyDescent="0.25">
      <c r="A321" s="55" t="s">
        <v>173</v>
      </c>
      <c r="B321" s="62" t="s">
        <v>169</v>
      </c>
      <c r="C321" s="45">
        <v>318</v>
      </c>
      <c r="D321" s="57"/>
      <c r="E321" s="57"/>
      <c r="F321" s="57"/>
      <c r="G321" s="57"/>
      <c r="H321" s="58"/>
      <c r="I321" s="58"/>
      <c r="J321" s="58"/>
      <c r="K321" s="58"/>
      <c r="L321" s="57"/>
      <c r="M321" s="57"/>
      <c r="N321" s="57"/>
      <c r="O321" s="57"/>
      <c r="P321" s="58"/>
      <c r="Q321" s="58"/>
      <c r="R321" s="58"/>
      <c r="S321" s="58"/>
      <c r="T321" s="59"/>
      <c r="U321" s="59"/>
      <c r="V321" s="136"/>
      <c r="W321" s="136"/>
    </row>
    <row r="322" spans="1:23" ht="18" customHeight="1" x14ac:dyDescent="0.25">
      <c r="A322" s="55" t="s">
        <v>173</v>
      </c>
      <c r="B322" s="62" t="s">
        <v>168</v>
      </c>
      <c r="C322" s="45">
        <v>319</v>
      </c>
      <c r="D322" s="57"/>
      <c r="E322" s="57"/>
      <c r="F322" s="57"/>
      <c r="G322" s="57"/>
      <c r="H322" s="58"/>
      <c r="I322" s="58"/>
      <c r="J322" s="58"/>
      <c r="K322" s="58"/>
      <c r="L322" s="57"/>
      <c r="M322" s="57"/>
      <c r="N322" s="57"/>
      <c r="O322" s="57"/>
      <c r="P322" s="58"/>
      <c r="Q322" s="58"/>
      <c r="R322" s="58"/>
      <c r="S322" s="58"/>
      <c r="T322" s="59"/>
      <c r="U322" s="59"/>
      <c r="V322" s="136"/>
      <c r="W322" s="136"/>
    </row>
    <row r="323" spans="1:23" ht="18" customHeight="1" x14ac:dyDescent="0.25">
      <c r="A323" s="55" t="s">
        <v>173</v>
      </c>
      <c r="B323" s="62" t="s">
        <v>167</v>
      </c>
      <c r="C323" s="45">
        <v>320</v>
      </c>
      <c r="D323" s="57"/>
      <c r="E323" s="57"/>
      <c r="F323" s="57"/>
      <c r="G323" s="57"/>
      <c r="H323" s="58"/>
      <c r="I323" s="58"/>
      <c r="J323" s="58"/>
      <c r="K323" s="58"/>
      <c r="L323" s="57"/>
      <c r="M323" s="57"/>
      <c r="N323" s="57"/>
      <c r="O323" s="57"/>
      <c r="P323" s="58"/>
      <c r="Q323" s="58"/>
      <c r="R323" s="58"/>
      <c r="S323" s="58"/>
      <c r="T323" s="59"/>
      <c r="U323" s="59"/>
      <c r="V323" s="136"/>
      <c r="W323" s="136"/>
    </row>
    <row r="324" spans="1:23" ht="18" customHeight="1" x14ac:dyDescent="0.25">
      <c r="A324" s="55" t="s">
        <v>173</v>
      </c>
      <c r="B324" s="62" t="s">
        <v>166</v>
      </c>
      <c r="C324" s="45">
        <v>321</v>
      </c>
      <c r="D324" s="57"/>
      <c r="E324" s="57"/>
      <c r="F324" s="57"/>
      <c r="G324" s="57"/>
      <c r="H324" s="58"/>
      <c r="I324" s="58"/>
      <c r="J324" s="58"/>
      <c r="K324" s="58"/>
      <c r="L324" s="57"/>
      <c r="M324" s="57"/>
      <c r="N324" s="57"/>
      <c r="O324" s="57"/>
      <c r="P324" s="58"/>
      <c r="Q324" s="58"/>
      <c r="R324" s="58"/>
      <c r="S324" s="58"/>
      <c r="T324" s="59"/>
      <c r="U324" s="59"/>
      <c r="V324" s="136"/>
      <c r="W324" s="136"/>
    </row>
    <row r="325" spans="1:23" ht="18" customHeight="1" x14ac:dyDescent="0.25">
      <c r="A325" s="55" t="s">
        <v>173</v>
      </c>
      <c r="B325" s="62" t="s">
        <v>165</v>
      </c>
      <c r="C325" s="45">
        <v>322</v>
      </c>
      <c r="D325" s="57"/>
      <c r="E325" s="57"/>
      <c r="F325" s="57"/>
      <c r="G325" s="57"/>
      <c r="H325" s="58"/>
      <c r="I325" s="58"/>
      <c r="J325" s="58"/>
      <c r="K325" s="58"/>
      <c r="L325" s="57"/>
      <c r="M325" s="57"/>
      <c r="N325" s="57"/>
      <c r="O325" s="57"/>
      <c r="P325" s="58"/>
      <c r="Q325" s="58"/>
      <c r="R325" s="58"/>
      <c r="S325" s="58"/>
      <c r="T325" s="59"/>
      <c r="U325" s="59"/>
      <c r="V325" s="136"/>
      <c r="W325" s="136"/>
    </row>
    <row r="326" spans="1:23" ht="18" customHeight="1" x14ac:dyDescent="0.25">
      <c r="A326" s="55" t="s">
        <v>173</v>
      </c>
      <c r="B326" s="62" t="s">
        <v>164</v>
      </c>
      <c r="C326" s="45">
        <v>323</v>
      </c>
      <c r="D326" s="57"/>
      <c r="E326" s="57"/>
      <c r="F326" s="57"/>
      <c r="G326" s="57"/>
      <c r="H326" s="58"/>
      <c r="I326" s="58"/>
      <c r="J326" s="58"/>
      <c r="K326" s="58"/>
      <c r="L326" s="57"/>
      <c r="M326" s="57"/>
      <c r="N326" s="57"/>
      <c r="O326" s="57"/>
      <c r="P326" s="58"/>
      <c r="Q326" s="58"/>
      <c r="R326" s="58"/>
      <c r="S326" s="58"/>
      <c r="T326" s="59"/>
      <c r="U326" s="59"/>
      <c r="V326" s="136"/>
      <c r="W326" s="136"/>
    </row>
    <row r="327" spans="1:23" ht="18" customHeight="1" x14ac:dyDescent="0.25">
      <c r="A327" s="55" t="s">
        <v>173</v>
      </c>
      <c r="B327" s="62" t="s">
        <v>163</v>
      </c>
      <c r="C327" s="45">
        <v>324</v>
      </c>
      <c r="D327" s="57"/>
      <c r="E327" s="57"/>
      <c r="F327" s="57"/>
      <c r="G327" s="57"/>
      <c r="H327" s="58"/>
      <c r="I327" s="58"/>
      <c r="J327" s="58"/>
      <c r="K327" s="58"/>
      <c r="L327" s="57"/>
      <c r="M327" s="57"/>
      <c r="N327" s="57"/>
      <c r="O327" s="57"/>
      <c r="P327" s="58"/>
      <c r="Q327" s="58"/>
      <c r="R327" s="58"/>
      <c r="S327" s="58"/>
      <c r="T327" s="59"/>
      <c r="U327" s="59"/>
      <c r="V327" s="136"/>
      <c r="W327" s="136"/>
    </row>
    <row r="328" spans="1:23" ht="18" customHeight="1" x14ac:dyDescent="0.25">
      <c r="A328" s="55" t="s">
        <v>173</v>
      </c>
      <c r="B328" s="62" t="s">
        <v>162</v>
      </c>
      <c r="C328" s="45">
        <v>325</v>
      </c>
      <c r="D328" s="57"/>
      <c r="E328" s="57"/>
      <c r="F328" s="57"/>
      <c r="G328" s="57"/>
      <c r="H328" s="58"/>
      <c r="I328" s="58"/>
      <c r="J328" s="58"/>
      <c r="K328" s="58"/>
      <c r="L328" s="57"/>
      <c r="M328" s="57"/>
      <c r="N328" s="57"/>
      <c r="O328" s="57"/>
      <c r="P328" s="58"/>
      <c r="Q328" s="58"/>
      <c r="R328" s="58"/>
      <c r="S328" s="58"/>
      <c r="T328" s="59"/>
      <c r="U328" s="59"/>
      <c r="V328" s="136"/>
      <c r="W328" s="136"/>
    </row>
    <row r="329" spans="1:23" ht="18" customHeight="1" x14ac:dyDescent="0.25">
      <c r="A329" s="49" t="s">
        <v>161</v>
      </c>
      <c r="B329" s="50"/>
      <c r="C329" s="45">
        <v>326</v>
      </c>
      <c r="D329" s="51">
        <f>SUM(D330:D334)</f>
        <v>0</v>
      </c>
      <c r="E329" s="51">
        <f t="shared" ref="E329:U329" si="57">SUM(E330:E334)</f>
        <v>0</v>
      </c>
      <c r="F329" s="51">
        <f t="shared" si="57"/>
        <v>0</v>
      </c>
      <c r="G329" s="51">
        <f t="shared" si="57"/>
        <v>0</v>
      </c>
      <c r="H329" s="53">
        <f t="shared" si="57"/>
        <v>0</v>
      </c>
      <c r="I329" s="53">
        <f t="shared" si="57"/>
        <v>0</v>
      </c>
      <c r="J329" s="53">
        <f t="shared" si="57"/>
        <v>0</v>
      </c>
      <c r="K329" s="53">
        <f t="shared" si="57"/>
        <v>0</v>
      </c>
      <c r="L329" s="51">
        <f t="shared" si="57"/>
        <v>0</v>
      </c>
      <c r="M329" s="51">
        <f t="shared" si="57"/>
        <v>0</v>
      </c>
      <c r="N329" s="51">
        <f t="shared" si="57"/>
        <v>0</v>
      </c>
      <c r="O329" s="51">
        <f t="shared" si="57"/>
        <v>0</v>
      </c>
      <c r="P329" s="53">
        <f t="shared" si="57"/>
        <v>0</v>
      </c>
      <c r="Q329" s="53">
        <f t="shared" si="57"/>
        <v>0</v>
      </c>
      <c r="R329" s="53">
        <f t="shared" si="57"/>
        <v>0</v>
      </c>
      <c r="S329" s="53">
        <f t="shared" si="57"/>
        <v>0</v>
      </c>
      <c r="T329" s="54">
        <f t="shared" si="57"/>
        <v>0</v>
      </c>
      <c r="U329" s="54">
        <f t="shared" si="57"/>
        <v>0</v>
      </c>
      <c r="V329" s="135">
        <f t="shared" ref="V329:W329" si="58">SUM(V330:V334)</f>
        <v>0</v>
      </c>
      <c r="W329" s="135">
        <f t="shared" si="58"/>
        <v>0</v>
      </c>
    </row>
    <row r="330" spans="1:23" ht="18" customHeight="1" x14ac:dyDescent="0.25">
      <c r="A330" s="55" t="s">
        <v>161</v>
      </c>
      <c r="B330" s="62" t="s">
        <v>160</v>
      </c>
      <c r="C330" s="45">
        <v>327</v>
      </c>
      <c r="D330" s="57"/>
      <c r="E330" s="57"/>
      <c r="F330" s="57"/>
      <c r="G330" s="57"/>
      <c r="H330" s="58"/>
      <c r="I330" s="58"/>
      <c r="J330" s="58"/>
      <c r="K330" s="58"/>
      <c r="L330" s="57"/>
      <c r="M330" s="57"/>
      <c r="N330" s="57"/>
      <c r="O330" s="57"/>
      <c r="P330" s="58"/>
      <c r="Q330" s="58"/>
      <c r="R330" s="58"/>
      <c r="S330" s="58"/>
      <c r="T330" s="59"/>
      <c r="U330" s="59"/>
      <c r="V330" s="136"/>
      <c r="W330" s="136"/>
    </row>
    <row r="331" spans="1:23" ht="18" customHeight="1" x14ac:dyDescent="0.25">
      <c r="A331" s="55" t="s">
        <v>161</v>
      </c>
      <c r="B331" s="63" t="s">
        <v>159</v>
      </c>
      <c r="C331" s="45">
        <v>328</v>
      </c>
      <c r="D331" s="57"/>
      <c r="E331" s="57"/>
      <c r="F331" s="57"/>
      <c r="G331" s="57"/>
      <c r="H331" s="58"/>
      <c r="I331" s="58"/>
      <c r="J331" s="58"/>
      <c r="K331" s="58"/>
      <c r="L331" s="57"/>
      <c r="M331" s="57"/>
      <c r="N331" s="57"/>
      <c r="O331" s="57"/>
      <c r="P331" s="58"/>
      <c r="Q331" s="58"/>
      <c r="R331" s="58"/>
      <c r="S331" s="58"/>
      <c r="T331" s="59"/>
      <c r="U331" s="59"/>
      <c r="V331" s="136"/>
      <c r="W331" s="136"/>
    </row>
    <row r="332" spans="1:23" ht="18" customHeight="1" x14ac:dyDescent="0.25">
      <c r="A332" s="55" t="s">
        <v>161</v>
      </c>
      <c r="B332" s="62" t="s">
        <v>158</v>
      </c>
      <c r="C332" s="45">
        <v>329</v>
      </c>
      <c r="D332" s="57"/>
      <c r="E332" s="57"/>
      <c r="F332" s="57"/>
      <c r="G332" s="57"/>
      <c r="H332" s="58"/>
      <c r="I332" s="58"/>
      <c r="J332" s="58"/>
      <c r="K332" s="58"/>
      <c r="L332" s="57"/>
      <c r="M332" s="57"/>
      <c r="N332" s="57"/>
      <c r="O332" s="57"/>
      <c r="P332" s="58"/>
      <c r="Q332" s="58"/>
      <c r="R332" s="58"/>
      <c r="S332" s="58"/>
      <c r="T332" s="59"/>
      <c r="U332" s="59"/>
      <c r="V332" s="136"/>
      <c r="W332" s="136"/>
    </row>
    <row r="333" spans="1:23" ht="18" customHeight="1" x14ac:dyDescent="0.25">
      <c r="A333" s="55" t="s">
        <v>161</v>
      </c>
      <c r="B333" s="62" t="s">
        <v>157</v>
      </c>
      <c r="C333" s="45">
        <v>330</v>
      </c>
      <c r="D333" s="57"/>
      <c r="E333" s="57"/>
      <c r="F333" s="57"/>
      <c r="G333" s="57"/>
      <c r="H333" s="58"/>
      <c r="I333" s="58"/>
      <c r="J333" s="58"/>
      <c r="K333" s="58"/>
      <c r="L333" s="57"/>
      <c r="M333" s="57"/>
      <c r="N333" s="57"/>
      <c r="O333" s="57"/>
      <c r="P333" s="58"/>
      <c r="Q333" s="58"/>
      <c r="R333" s="58"/>
      <c r="S333" s="58"/>
      <c r="T333" s="59"/>
      <c r="U333" s="59"/>
      <c r="V333" s="136"/>
      <c r="W333" s="136"/>
    </row>
    <row r="334" spans="1:23" ht="18" customHeight="1" x14ac:dyDescent="0.25">
      <c r="A334" s="55" t="s">
        <v>161</v>
      </c>
      <c r="B334" s="62" t="s">
        <v>156</v>
      </c>
      <c r="C334" s="45">
        <v>331</v>
      </c>
      <c r="D334" s="57"/>
      <c r="E334" s="57"/>
      <c r="F334" s="57"/>
      <c r="G334" s="57"/>
      <c r="H334" s="58"/>
      <c r="I334" s="58"/>
      <c r="J334" s="58"/>
      <c r="K334" s="58"/>
      <c r="L334" s="57"/>
      <c r="M334" s="57"/>
      <c r="N334" s="57"/>
      <c r="O334" s="57"/>
      <c r="P334" s="58"/>
      <c r="Q334" s="58"/>
      <c r="R334" s="58"/>
      <c r="S334" s="58"/>
      <c r="T334" s="59"/>
      <c r="U334" s="59"/>
      <c r="V334" s="136"/>
      <c r="W334" s="136"/>
    </row>
    <row r="335" spans="1:23" ht="18" customHeight="1" x14ac:dyDescent="0.25">
      <c r="A335" s="49" t="s">
        <v>155</v>
      </c>
      <c r="B335" s="50"/>
      <c r="C335" s="45">
        <v>332</v>
      </c>
      <c r="D335" s="51">
        <f>D336+D345</f>
        <v>0</v>
      </c>
      <c r="E335" s="51">
        <f t="shared" ref="E335:W335" si="59">E336+E345</f>
        <v>0</v>
      </c>
      <c r="F335" s="51">
        <f t="shared" si="59"/>
        <v>0</v>
      </c>
      <c r="G335" s="51">
        <f t="shared" si="59"/>
        <v>0</v>
      </c>
      <c r="H335" s="53">
        <f t="shared" si="59"/>
        <v>0</v>
      </c>
      <c r="I335" s="53">
        <f t="shared" si="59"/>
        <v>0</v>
      </c>
      <c r="J335" s="53">
        <f t="shared" si="59"/>
        <v>0</v>
      </c>
      <c r="K335" s="53">
        <f t="shared" si="59"/>
        <v>0</v>
      </c>
      <c r="L335" s="51">
        <f t="shared" si="59"/>
        <v>0</v>
      </c>
      <c r="M335" s="51">
        <f t="shared" si="59"/>
        <v>0</v>
      </c>
      <c r="N335" s="51">
        <f t="shared" si="59"/>
        <v>0</v>
      </c>
      <c r="O335" s="51">
        <f t="shared" si="59"/>
        <v>0</v>
      </c>
      <c r="P335" s="53">
        <f t="shared" si="59"/>
        <v>0</v>
      </c>
      <c r="Q335" s="53">
        <f t="shared" si="59"/>
        <v>0</v>
      </c>
      <c r="R335" s="53">
        <f t="shared" si="59"/>
        <v>0</v>
      </c>
      <c r="S335" s="53">
        <f t="shared" si="59"/>
        <v>0</v>
      </c>
      <c r="T335" s="54">
        <f t="shared" si="59"/>
        <v>0</v>
      </c>
      <c r="U335" s="54">
        <f t="shared" si="59"/>
        <v>0</v>
      </c>
      <c r="V335" s="135">
        <f t="shared" si="59"/>
        <v>0</v>
      </c>
      <c r="W335" s="135">
        <f t="shared" si="59"/>
        <v>0</v>
      </c>
    </row>
    <row r="336" spans="1:23" ht="18" customHeight="1" x14ac:dyDescent="0.25">
      <c r="A336" s="49" t="s">
        <v>154</v>
      </c>
      <c r="B336" s="50"/>
      <c r="C336" s="45">
        <v>333</v>
      </c>
      <c r="D336" s="51">
        <f>SUM(D337:D344)</f>
        <v>0</v>
      </c>
      <c r="E336" s="51">
        <f t="shared" ref="E336:U336" si="60">SUM(E337:E344)</f>
        <v>0</v>
      </c>
      <c r="F336" s="51">
        <f t="shared" si="60"/>
        <v>0</v>
      </c>
      <c r="G336" s="51">
        <f t="shared" si="60"/>
        <v>0</v>
      </c>
      <c r="H336" s="53">
        <f t="shared" si="60"/>
        <v>0</v>
      </c>
      <c r="I336" s="53">
        <f t="shared" si="60"/>
        <v>0</v>
      </c>
      <c r="J336" s="53">
        <f t="shared" si="60"/>
        <v>0</v>
      </c>
      <c r="K336" s="53">
        <f t="shared" si="60"/>
        <v>0</v>
      </c>
      <c r="L336" s="51">
        <f t="shared" si="60"/>
        <v>0</v>
      </c>
      <c r="M336" s="51">
        <f t="shared" si="60"/>
        <v>0</v>
      </c>
      <c r="N336" s="51">
        <f t="shared" si="60"/>
        <v>0</v>
      </c>
      <c r="O336" s="51">
        <f t="shared" si="60"/>
        <v>0</v>
      </c>
      <c r="P336" s="53">
        <f t="shared" si="60"/>
        <v>0</v>
      </c>
      <c r="Q336" s="53">
        <f t="shared" si="60"/>
        <v>0</v>
      </c>
      <c r="R336" s="53">
        <f t="shared" si="60"/>
        <v>0</v>
      </c>
      <c r="S336" s="53">
        <f t="shared" si="60"/>
        <v>0</v>
      </c>
      <c r="T336" s="54">
        <f t="shared" si="60"/>
        <v>0</v>
      </c>
      <c r="U336" s="54">
        <f t="shared" si="60"/>
        <v>0</v>
      </c>
      <c r="V336" s="135">
        <f t="shared" ref="V336:W336" si="61">SUM(V337:V344)</f>
        <v>0</v>
      </c>
      <c r="W336" s="135">
        <f t="shared" si="61"/>
        <v>0</v>
      </c>
    </row>
    <row r="337" spans="1:23" ht="18" customHeight="1" x14ac:dyDescent="0.25">
      <c r="A337" s="55" t="s">
        <v>154</v>
      </c>
      <c r="B337" s="62" t="s">
        <v>153</v>
      </c>
      <c r="C337" s="45">
        <v>334</v>
      </c>
      <c r="D337" s="57"/>
      <c r="E337" s="57"/>
      <c r="F337" s="57"/>
      <c r="G337" s="57"/>
      <c r="H337" s="58"/>
      <c r="I337" s="58"/>
      <c r="J337" s="58"/>
      <c r="K337" s="58"/>
      <c r="L337" s="57"/>
      <c r="M337" s="57"/>
      <c r="N337" s="57"/>
      <c r="O337" s="57"/>
      <c r="P337" s="58"/>
      <c r="Q337" s="58"/>
      <c r="R337" s="58"/>
      <c r="S337" s="58"/>
      <c r="T337" s="59"/>
      <c r="U337" s="59"/>
      <c r="V337" s="136"/>
      <c r="W337" s="136"/>
    </row>
    <row r="338" spans="1:23" ht="18" customHeight="1" x14ac:dyDescent="0.25">
      <c r="A338" s="55" t="s">
        <v>154</v>
      </c>
      <c r="B338" s="62" t="s">
        <v>152</v>
      </c>
      <c r="C338" s="45">
        <v>335</v>
      </c>
      <c r="D338" s="57"/>
      <c r="E338" s="57"/>
      <c r="F338" s="57"/>
      <c r="G338" s="57"/>
      <c r="H338" s="58"/>
      <c r="I338" s="58"/>
      <c r="J338" s="58"/>
      <c r="K338" s="58"/>
      <c r="L338" s="57"/>
      <c r="M338" s="57"/>
      <c r="N338" s="57"/>
      <c r="O338" s="57"/>
      <c r="P338" s="58"/>
      <c r="Q338" s="58"/>
      <c r="R338" s="58"/>
      <c r="S338" s="58"/>
      <c r="T338" s="59"/>
      <c r="U338" s="59"/>
      <c r="V338" s="136"/>
      <c r="W338" s="136"/>
    </row>
    <row r="339" spans="1:23" ht="18" customHeight="1" x14ac:dyDescent="0.25">
      <c r="A339" s="55" t="s">
        <v>154</v>
      </c>
      <c r="B339" s="62" t="s">
        <v>151</v>
      </c>
      <c r="C339" s="45">
        <v>336</v>
      </c>
      <c r="D339" s="57"/>
      <c r="E339" s="57"/>
      <c r="F339" s="57"/>
      <c r="G339" s="57"/>
      <c r="H339" s="58"/>
      <c r="I339" s="58"/>
      <c r="J339" s="58"/>
      <c r="K339" s="58"/>
      <c r="L339" s="57"/>
      <c r="M339" s="57"/>
      <c r="N339" s="57"/>
      <c r="O339" s="57"/>
      <c r="P339" s="58"/>
      <c r="Q339" s="58"/>
      <c r="R339" s="58"/>
      <c r="S339" s="58"/>
      <c r="T339" s="59"/>
      <c r="U339" s="59"/>
      <c r="V339" s="136"/>
      <c r="W339" s="136"/>
    </row>
    <row r="340" spans="1:23" ht="18" customHeight="1" x14ac:dyDescent="0.25">
      <c r="A340" s="55" t="s">
        <v>154</v>
      </c>
      <c r="B340" s="62" t="s">
        <v>150</v>
      </c>
      <c r="C340" s="45">
        <v>337</v>
      </c>
      <c r="D340" s="57"/>
      <c r="E340" s="57"/>
      <c r="F340" s="57"/>
      <c r="G340" s="57"/>
      <c r="H340" s="58"/>
      <c r="I340" s="58"/>
      <c r="J340" s="58"/>
      <c r="K340" s="58"/>
      <c r="L340" s="57"/>
      <c r="M340" s="57"/>
      <c r="N340" s="57"/>
      <c r="O340" s="57"/>
      <c r="P340" s="58"/>
      <c r="Q340" s="58"/>
      <c r="R340" s="58"/>
      <c r="S340" s="58"/>
      <c r="T340" s="59"/>
      <c r="U340" s="59"/>
      <c r="V340" s="136"/>
      <c r="W340" s="136"/>
    </row>
    <row r="341" spans="1:23" ht="18" customHeight="1" x14ac:dyDescent="0.25">
      <c r="A341" s="55" t="s">
        <v>154</v>
      </c>
      <c r="B341" s="62" t="s">
        <v>149</v>
      </c>
      <c r="C341" s="45">
        <v>338</v>
      </c>
      <c r="D341" s="57"/>
      <c r="E341" s="57"/>
      <c r="F341" s="57"/>
      <c r="G341" s="57"/>
      <c r="H341" s="58"/>
      <c r="I341" s="58"/>
      <c r="J341" s="58"/>
      <c r="K341" s="58"/>
      <c r="L341" s="57"/>
      <c r="M341" s="57"/>
      <c r="N341" s="57"/>
      <c r="O341" s="57"/>
      <c r="P341" s="58"/>
      <c r="Q341" s="58"/>
      <c r="R341" s="58"/>
      <c r="S341" s="58"/>
      <c r="T341" s="59"/>
      <c r="U341" s="59"/>
      <c r="V341" s="136"/>
      <c r="W341" s="136"/>
    </row>
    <row r="342" spans="1:23" ht="18" customHeight="1" x14ac:dyDescent="0.25">
      <c r="A342" s="55" t="s">
        <v>154</v>
      </c>
      <c r="B342" s="62" t="s">
        <v>148</v>
      </c>
      <c r="C342" s="45">
        <v>339</v>
      </c>
      <c r="D342" s="57"/>
      <c r="E342" s="57"/>
      <c r="F342" s="57"/>
      <c r="G342" s="57"/>
      <c r="H342" s="58"/>
      <c r="I342" s="58"/>
      <c r="J342" s="58"/>
      <c r="K342" s="58"/>
      <c r="L342" s="57"/>
      <c r="M342" s="57"/>
      <c r="N342" s="57"/>
      <c r="O342" s="57"/>
      <c r="P342" s="58"/>
      <c r="Q342" s="58"/>
      <c r="R342" s="58"/>
      <c r="S342" s="58"/>
      <c r="T342" s="59"/>
      <c r="U342" s="59"/>
      <c r="V342" s="136"/>
      <c r="W342" s="136"/>
    </row>
    <row r="343" spans="1:23" ht="18" customHeight="1" x14ac:dyDescent="0.25">
      <c r="A343" s="55" t="s">
        <v>154</v>
      </c>
      <c r="B343" s="62" t="s">
        <v>147</v>
      </c>
      <c r="C343" s="45">
        <v>340</v>
      </c>
      <c r="D343" s="57"/>
      <c r="E343" s="57"/>
      <c r="F343" s="57"/>
      <c r="G343" s="57"/>
      <c r="H343" s="58"/>
      <c r="I343" s="58"/>
      <c r="J343" s="58"/>
      <c r="K343" s="58"/>
      <c r="L343" s="57"/>
      <c r="M343" s="57"/>
      <c r="N343" s="57"/>
      <c r="O343" s="57"/>
      <c r="P343" s="58"/>
      <c r="Q343" s="58"/>
      <c r="R343" s="58"/>
      <c r="S343" s="58"/>
      <c r="T343" s="59"/>
      <c r="U343" s="59"/>
      <c r="V343" s="136"/>
      <c r="W343" s="136"/>
    </row>
    <row r="344" spans="1:23" ht="18" customHeight="1" x14ac:dyDescent="0.25">
      <c r="A344" s="55" t="s">
        <v>154</v>
      </c>
      <c r="B344" s="62" t="s">
        <v>146</v>
      </c>
      <c r="C344" s="45">
        <v>341</v>
      </c>
      <c r="D344" s="57"/>
      <c r="E344" s="57"/>
      <c r="F344" s="57"/>
      <c r="G344" s="57"/>
      <c r="H344" s="58"/>
      <c r="I344" s="58"/>
      <c r="J344" s="58"/>
      <c r="K344" s="58"/>
      <c r="L344" s="57"/>
      <c r="M344" s="57"/>
      <c r="N344" s="57"/>
      <c r="O344" s="57"/>
      <c r="P344" s="58"/>
      <c r="Q344" s="58"/>
      <c r="R344" s="58"/>
      <c r="S344" s="58"/>
      <c r="T344" s="59"/>
      <c r="U344" s="59"/>
      <c r="V344" s="136"/>
      <c r="W344" s="136"/>
    </row>
    <row r="345" spans="1:23" ht="18" customHeight="1" x14ac:dyDescent="0.25">
      <c r="A345" s="49" t="s">
        <v>145</v>
      </c>
      <c r="B345" s="50"/>
      <c r="C345" s="45">
        <v>342</v>
      </c>
      <c r="D345" s="51">
        <f>SUM(D346:D352)</f>
        <v>0</v>
      </c>
      <c r="E345" s="51">
        <f t="shared" ref="E345:V345" si="62">SUM(E346:E352)</f>
        <v>0</v>
      </c>
      <c r="F345" s="51">
        <f t="shared" si="62"/>
        <v>0</v>
      </c>
      <c r="G345" s="51">
        <f t="shared" si="62"/>
        <v>0</v>
      </c>
      <c r="H345" s="53">
        <f t="shared" si="62"/>
        <v>0</v>
      </c>
      <c r="I345" s="53">
        <f t="shared" si="62"/>
        <v>0</v>
      </c>
      <c r="J345" s="53">
        <f t="shared" si="62"/>
        <v>0</v>
      </c>
      <c r="K345" s="53">
        <f t="shared" si="62"/>
        <v>0</v>
      </c>
      <c r="L345" s="51">
        <f t="shared" si="62"/>
        <v>0</v>
      </c>
      <c r="M345" s="51">
        <f t="shared" si="62"/>
        <v>0</v>
      </c>
      <c r="N345" s="51">
        <f t="shared" si="62"/>
        <v>0</v>
      </c>
      <c r="O345" s="51">
        <f t="shared" si="62"/>
        <v>0</v>
      </c>
      <c r="P345" s="53">
        <f t="shared" si="62"/>
        <v>0</v>
      </c>
      <c r="Q345" s="53">
        <f t="shared" si="62"/>
        <v>0</v>
      </c>
      <c r="R345" s="53">
        <f t="shared" si="62"/>
        <v>0</v>
      </c>
      <c r="S345" s="53">
        <f t="shared" si="62"/>
        <v>0</v>
      </c>
      <c r="T345" s="54">
        <f t="shared" si="62"/>
        <v>0</v>
      </c>
      <c r="U345" s="54">
        <f t="shared" si="62"/>
        <v>0</v>
      </c>
      <c r="V345" s="135">
        <f t="shared" si="62"/>
        <v>0</v>
      </c>
      <c r="W345" s="135">
        <f>SUM(W346:W352)</f>
        <v>0</v>
      </c>
    </row>
    <row r="346" spans="1:23" ht="18" customHeight="1" x14ac:dyDescent="0.25">
      <c r="A346" s="55" t="s">
        <v>145</v>
      </c>
      <c r="B346" s="62" t="s">
        <v>144</v>
      </c>
      <c r="C346" s="45">
        <v>343</v>
      </c>
      <c r="D346" s="57"/>
      <c r="E346" s="57"/>
      <c r="F346" s="57"/>
      <c r="G346" s="57"/>
      <c r="H346" s="58"/>
      <c r="I346" s="58"/>
      <c r="J346" s="58"/>
      <c r="K346" s="58"/>
      <c r="L346" s="57"/>
      <c r="M346" s="57"/>
      <c r="N346" s="57"/>
      <c r="O346" s="57"/>
      <c r="P346" s="58"/>
      <c r="Q346" s="58"/>
      <c r="R346" s="58"/>
      <c r="S346" s="58"/>
      <c r="T346" s="59"/>
      <c r="U346" s="59"/>
      <c r="V346" s="136"/>
      <c r="W346" s="136"/>
    </row>
    <row r="347" spans="1:23" ht="15.75" x14ac:dyDescent="0.25">
      <c r="A347" s="55" t="s">
        <v>145</v>
      </c>
      <c r="B347" s="62" t="s">
        <v>143</v>
      </c>
      <c r="C347" s="45">
        <v>344</v>
      </c>
      <c r="D347" s="57"/>
      <c r="E347" s="57"/>
      <c r="F347" s="57"/>
      <c r="G347" s="57"/>
      <c r="H347" s="58"/>
      <c r="I347" s="58"/>
      <c r="J347" s="58"/>
      <c r="K347" s="58"/>
      <c r="L347" s="57"/>
      <c r="M347" s="57"/>
      <c r="N347" s="57"/>
      <c r="O347" s="57"/>
      <c r="P347" s="58"/>
      <c r="Q347" s="58"/>
      <c r="R347" s="58"/>
      <c r="S347" s="58"/>
      <c r="T347" s="59"/>
      <c r="U347" s="59"/>
      <c r="V347" s="136"/>
      <c r="W347" s="136"/>
    </row>
    <row r="348" spans="1:23" ht="15.75" x14ac:dyDescent="0.25">
      <c r="A348" s="55" t="s">
        <v>145</v>
      </c>
      <c r="B348" s="62" t="s">
        <v>142</v>
      </c>
      <c r="C348" s="45">
        <v>345</v>
      </c>
      <c r="D348" s="57"/>
      <c r="E348" s="57"/>
      <c r="F348" s="57"/>
      <c r="G348" s="57"/>
      <c r="H348" s="58"/>
      <c r="I348" s="58"/>
      <c r="J348" s="58"/>
      <c r="K348" s="58"/>
      <c r="L348" s="57"/>
      <c r="M348" s="57"/>
      <c r="N348" s="57"/>
      <c r="O348" s="57"/>
      <c r="P348" s="58"/>
      <c r="Q348" s="58"/>
      <c r="R348" s="58"/>
      <c r="S348" s="58"/>
      <c r="T348" s="59"/>
      <c r="U348" s="59"/>
      <c r="V348" s="136"/>
      <c r="W348" s="136"/>
    </row>
    <row r="349" spans="1:23" ht="15.75" x14ac:dyDescent="0.25">
      <c r="A349" s="55" t="s">
        <v>145</v>
      </c>
      <c r="B349" s="62" t="s">
        <v>141</v>
      </c>
      <c r="C349" s="45">
        <v>346</v>
      </c>
      <c r="D349" s="57"/>
      <c r="E349" s="57"/>
      <c r="F349" s="57"/>
      <c r="G349" s="57"/>
      <c r="H349" s="58"/>
      <c r="I349" s="58"/>
      <c r="J349" s="58"/>
      <c r="K349" s="58"/>
      <c r="L349" s="57"/>
      <c r="M349" s="57"/>
      <c r="N349" s="57"/>
      <c r="O349" s="57"/>
      <c r="P349" s="58"/>
      <c r="Q349" s="58"/>
      <c r="R349" s="58"/>
      <c r="S349" s="58"/>
      <c r="T349" s="59"/>
      <c r="U349" s="59"/>
      <c r="V349" s="136"/>
      <c r="W349" s="136"/>
    </row>
    <row r="350" spans="1:23" ht="15.75" x14ac:dyDescent="0.25">
      <c r="A350" s="55" t="s">
        <v>145</v>
      </c>
      <c r="B350" s="62" t="s">
        <v>140</v>
      </c>
      <c r="C350" s="45">
        <v>347</v>
      </c>
      <c r="D350" s="57"/>
      <c r="E350" s="57"/>
      <c r="F350" s="57"/>
      <c r="G350" s="57"/>
      <c r="H350" s="58"/>
      <c r="I350" s="58"/>
      <c r="J350" s="58"/>
      <c r="K350" s="58"/>
      <c r="L350" s="57"/>
      <c r="M350" s="57"/>
      <c r="N350" s="57"/>
      <c r="O350" s="57"/>
      <c r="P350" s="58"/>
      <c r="Q350" s="58"/>
      <c r="R350" s="58"/>
      <c r="S350" s="58"/>
      <c r="T350" s="59"/>
      <c r="U350" s="59"/>
      <c r="V350" s="136"/>
      <c r="W350" s="136"/>
    </row>
    <row r="351" spans="1:23" ht="15.75" x14ac:dyDescent="0.25">
      <c r="A351" s="55" t="s">
        <v>145</v>
      </c>
      <c r="B351" s="62" t="s">
        <v>139</v>
      </c>
      <c r="C351" s="45">
        <v>348</v>
      </c>
      <c r="D351" s="57"/>
      <c r="E351" s="57"/>
      <c r="F351" s="57"/>
      <c r="G351" s="57"/>
      <c r="H351" s="58"/>
      <c r="I351" s="58"/>
      <c r="J351" s="58"/>
      <c r="K351" s="58"/>
      <c r="L351" s="57"/>
      <c r="M351" s="57"/>
      <c r="N351" s="57"/>
      <c r="O351" s="57"/>
      <c r="P351" s="58"/>
      <c r="Q351" s="58"/>
      <c r="R351" s="58"/>
      <c r="S351" s="58"/>
      <c r="T351" s="59"/>
      <c r="U351" s="59"/>
      <c r="V351" s="136"/>
      <c r="W351" s="136"/>
    </row>
    <row r="352" spans="1:23" ht="15.75" x14ac:dyDescent="0.25">
      <c r="A352" s="55" t="s">
        <v>145</v>
      </c>
      <c r="B352" s="62" t="s">
        <v>138</v>
      </c>
      <c r="C352" s="45">
        <v>349</v>
      </c>
      <c r="D352" s="57"/>
      <c r="E352" s="57"/>
      <c r="F352" s="57"/>
      <c r="G352" s="57"/>
      <c r="H352" s="58"/>
      <c r="I352" s="58"/>
      <c r="J352" s="58"/>
      <c r="K352" s="58"/>
      <c r="L352" s="57"/>
      <c r="M352" s="57"/>
      <c r="N352" s="57"/>
      <c r="O352" s="57"/>
      <c r="P352" s="58"/>
      <c r="Q352" s="58"/>
      <c r="R352" s="58"/>
      <c r="S352" s="58"/>
      <c r="T352" s="59"/>
      <c r="U352" s="59"/>
      <c r="V352" s="136"/>
      <c r="W352" s="136"/>
    </row>
    <row r="353" spans="1:23" ht="15.75" x14ac:dyDescent="0.25">
      <c r="A353" s="55" t="s">
        <v>145</v>
      </c>
      <c r="B353" s="66" t="s">
        <v>549</v>
      </c>
      <c r="C353" s="45">
        <v>350</v>
      </c>
      <c r="D353" s="57"/>
      <c r="E353" s="57"/>
      <c r="F353" s="57"/>
      <c r="G353" s="57"/>
      <c r="H353" s="58"/>
      <c r="I353" s="58"/>
      <c r="J353" s="58"/>
      <c r="K353" s="58">
        <v>2321</v>
      </c>
      <c r="L353" s="57"/>
      <c r="M353" s="57"/>
      <c r="N353" s="57"/>
      <c r="O353" s="57"/>
      <c r="P353" s="58"/>
      <c r="Q353" s="58"/>
      <c r="R353" s="58"/>
      <c r="S353" s="58"/>
      <c r="T353" s="59">
        <v>2</v>
      </c>
      <c r="U353" s="59"/>
      <c r="V353" s="136">
        <v>1</v>
      </c>
      <c r="W353" s="136"/>
    </row>
    <row r="354" spans="1:23" ht="15.75" x14ac:dyDescent="0.25">
      <c r="A354" s="49" t="s">
        <v>137</v>
      </c>
      <c r="B354" s="50"/>
      <c r="C354" s="45">
        <v>351</v>
      </c>
      <c r="D354" s="51">
        <f t="shared" ref="D354:W354" si="63">D353+D335+D314+D242+D161+D99+D4</f>
        <v>0</v>
      </c>
      <c r="E354" s="51">
        <f t="shared" si="63"/>
        <v>0</v>
      </c>
      <c r="F354" s="51">
        <f t="shared" si="63"/>
        <v>0</v>
      </c>
      <c r="G354" s="51">
        <f t="shared" si="63"/>
        <v>0</v>
      </c>
      <c r="H354" s="53">
        <f t="shared" si="63"/>
        <v>3022</v>
      </c>
      <c r="I354" s="53">
        <f t="shared" si="63"/>
        <v>676</v>
      </c>
      <c r="J354" s="53">
        <f t="shared" si="63"/>
        <v>823</v>
      </c>
      <c r="K354" s="53">
        <f t="shared" si="63"/>
        <v>3146</v>
      </c>
      <c r="L354" s="51">
        <f t="shared" si="63"/>
        <v>0</v>
      </c>
      <c r="M354" s="51">
        <f t="shared" si="63"/>
        <v>0</v>
      </c>
      <c r="N354" s="51">
        <f t="shared" si="63"/>
        <v>0</v>
      </c>
      <c r="O354" s="51">
        <f t="shared" si="63"/>
        <v>0</v>
      </c>
      <c r="P354" s="53">
        <f t="shared" si="63"/>
        <v>0</v>
      </c>
      <c r="Q354" s="53">
        <f t="shared" si="63"/>
        <v>0</v>
      </c>
      <c r="R354" s="53">
        <f t="shared" si="63"/>
        <v>0</v>
      </c>
      <c r="S354" s="53">
        <f t="shared" si="63"/>
        <v>0</v>
      </c>
      <c r="T354" s="54">
        <f t="shared" si="63"/>
        <v>192</v>
      </c>
      <c r="U354" s="54">
        <f t="shared" si="63"/>
        <v>115</v>
      </c>
      <c r="V354" s="135">
        <f t="shared" si="63"/>
        <v>407</v>
      </c>
      <c r="W354" s="135">
        <f t="shared" si="63"/>
        <v>90</v>
      </c>
    </row>
    <row r="355" spans="1:23" ht="31.5" x14ac:dyDescent="0.25">
      <c r="A355" s="55" t="s">
        <v>137</v>
      </c>
      <c r="B355" s="61" t="s">
        <v>136</v>
      </c>
      <c r="C355" s="45">
        <v>352</v>
      </c>
      <c r="D355" s="57"/>
      <c r="E355" s="57"/>
      <c r="F355" s="57"/>
      <c r="G355" s="57"/>
      <c r="H355" s="58"/>
      <c r="I355" s="58">
        <v>100</v>
      </c>
      <c r="J355" s="58">
        <v>121</v>
      </c>
      <c r="K355" s="58">
        <v>86</v>
      </c>
      <c r="L355" s="57"/>
      <c r="M355" s="57"/>
      <c r="N355" s="57"/>
      <c r="O355" s="57"/>
      <c r="P355" s="58"/>
      <c r="Q355" s="58"/>
      <c r="R355" s="58"/>
      <c r="S355" s="58"/>
      <c r="T355" s="64">
        <f>Р1[[#This Row],[В СУД (дел)]]+Р1[[#This Row],[ПРЕКРАЩ. (дел)]]+Р1[[#This Row],[В СУД (дел) 2]]+Р1[[#This Row],[ПРЕКРАЩ. (дел) 2]]+Р1[[#This Row],[В СУД (дел) 3]]+Р1[[#This Row],[ПРЕКРАЩ. (дел) 3]]+Р1[[#This Row],[В СУД (дел) 4]]+Р1[[#This Row],[ПРЕКРАЩ. (дел) 4]]</f>
        <v>186</v>
      </c>
      <c r="U355" s="59"/>
      <c r="V355" s="136">
        <v>288</v>
      </c>
      <c r="W355" s="136"/>
    </row>
    <row r="356" spans="1:23" ht="30" x14ac:dyDescent="0.25">
      <c r="A356" s="55" t="s">
        <v>137</v>
      </c>
      <c r="B356" s="24" t="s">
        <v>870</v>
      </c>
      <c r="C356" s="45">
        <v>353</v>
      </c>
      <c r="D356" s="57"/>
      <c r="E356" s="57"/>
      <c r="F356" s="57"/>
      <c r="G356" s="57"/>
      <c r="H356" s="58"/>
      <c r="I356" s="58">
        <v>19</v>
      </c>
      <c r="J356" s="58">
        <v>29</v>
      </c>
      <c r="K356" s="58">
        <v>69</v>
      </c>
      <c r="L356" s="57"/>
      <c r="M356" s="57"/>
      <c r="N356" s="57"/>
      <c r="O356" s="57"/>
      <c r="P356" s="58"/>
      <c r="Q356" s="58"/>
      <c r="R356" s="58"/>
      <c r="S356" s="58"/>
      <c r="T356" s="59"/>
      <c r="U356" s="64">
        <f>Р1[[#This Row],[В СУД (дел)]]+Р1[[#This Row],[ПРЕКРАЩ. (дел)]]+Р1[[#This Row],[В СУД (дел) 2]]+Р1[[#This Row],[ПРЕКРАЩ. (дел) 2]]+Р1[[#This Row],[В СУД (дел) 3]]+Р1[[#This Row],[ПРЕКРАЩ. (дел) 3]]+Р1[[#This Row],[В СУД (дел) 4]]+Р1[[#This Row],[ПРЕКРАЩ. (дел) 4]]</f>
        <v>88</v>
      </c>
      <c r="V356" s="136"/>
      <c r="W356" s="136">
        <v>66</v>
      </c>
    </row>
    <row r="357" spans="1:23" ht="30" x14ac:dyDescent="0.25">
      <c r="A357" s="55" t="s">
        <v>137</v>
      </c>
      <c r="B357" s="24" t="s">
        <v>869</v>
      </c>
      <c r="C357" s="45">
        <v>354</v>
      </c>
      <c r="D357" s="57"/>
      <c r="E357" s="57"/>
      <c r="F357" s="57"/>
      <c r="G357" s="57"/>
      <c r="H357" s="58"/>
      <c r="I357" s="58">
        <v>1</v>
      </c>
      <c r="J357" s="58">
        <v>1</v>
      </c>
      <c r="K357" s="58"/>
      <c r="L357" s="57"/>
      <c r="M357" s="57"/>
      <c r="N357" s="57"/>
      <c r="O357" s="57"/>
      <c r="P357" s="58"/>
      <c r="Q357" s="58"/>
      <c r="R357" s="58"/>
      <c r="S357" s="58"/>
      <c r="T357" s="59"/>
      <c r="U357" s="59"/>
      <c r="V357" s="136"/>
      <c r="W357" s="136"/>
    </row>
    <row r="358" spans="1:23" ht="31.5" x14ac:dyDescent="0.25">
      <c r="A358" s="55" t="s">
        <v>137</v>
      </c>
      <c r="B358" s="65" t="s">
        <v>824</v>
      </c>
      <c r="C358" s="45">
        <v>355</v>
      </c>
      <c r="D358" s="57"/>
      <c r="E358" s="57"/>
      <c r="F358" s="57"/>
      <c r="G358" s="57"/>
      <c r="H358" s="58"/>
      <c r="I358" s="58"/>
      <c r="J358" s="58"/>
      <c r="K358" s="58"/>
      <c r="L358" s="57"/>
      <c r="M358" s="57"/>
      <c r="N358" s="57"/>
      <c r="O358" s="57"/>
      <c r="P358" s="58"/>
      <c r="Q358" s="58"/>
      <c r="R358" s="58"/>
      <c r="S358" s="58"/>
      <c r="T358" s="59"/>
      <c r="U358" s="64">
        <f>Р1[[#This Row],[В СУД (дел)]]+Р1[[#This Row],[ПРЕКРАЩ. (дел)]]+Р1[[#This Row],[В СУД (дел) 2]]+Р1[[#This Row],[ПРЕКРАЩ. (дел) 2]]+Р1[[#This Row],[В СУД (дел) 3]]+Р1[[#This Row],[ПРЕКРАЩ. (дел) 3]]+Р1[[#This Row],[В СУД (дел) 4]]+Р1[[#This Row],[ПРЕКРАЩ. (дел) 4]]</f>
        <v>0</v>
      </c>
      <c r="V358" s="137"/>
      <c r="W358" s="137"/>
    </row>
    <row r="433" spans="1:23" s="26" customFormat="1" x14ac:dyDescent="0.2">
      <c r="A433" s="19"/>
      <c r="B433" s="19"/>
      <c r="C433" s="25"/>
      <c r="D433" s="25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</row>
    <row r="441" spans="1:23" x14ac:dyDescent="0.2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</row>
    <row r="463" spans="1:23" s="26" customFormat="1" x14ac:dyDescent="0.2">
      <c r="A463" s="19"/>
      <c r="B463" s="19"/>
      <c r="C463" s="25"/>
      <c r="D463" s="25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</row>
    <row r="464" spans="1:23" x14ac:dyDescent="0.2">
      <c r="G464" s="26"/>
    </row>
    <row r="471" spans="1:23" x14ac:dyDescent="0.2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</row>
    <row r="488" spans="6:6" x14ac:dyDescent="0.2">
      <c r="F488" s="26"/>
    </row>
    <row r="507" spans="1:23" s="26" customFormat="1" x14ac:dyDescent="0.2">
      <c r="A507" s="19"/>
      <c r="B507" s="19"/>
      <c r="C507" s="25"/>
      <c r="D507" s="25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</row>
    <row r="515" spans="1:23" x14ac:dyDescent="0.2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</row>
    <row r="547" spans="1:23" s="26" customFormat="1" x14ac:dyDescent="0.2">
      <c r="A547" s="19"/>
      <c r="B547" s="19"/>
      <c r="C547" s="25"/>
      <c r="D547" s="25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</row>
    <row r="555" spans="1:23" x14ac:dyDescent="0.2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</row>
    <row r="562" spans="1:23" s="26" customFormat="1" x14ac:dyDescent="0.2">
      <c r="A562" s="19"/>
      <c r="B562" s="19"/>
      <c r="C562" s="25"/>
      <c r="D562" s="25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</row>
    <row r="570" spans="1:23" x14ac:dyDescent="0.2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</row>
    <row r="607" spans="1:23" s="26" customFormat="1" x14ac:dyDescent="0.2">
      <c r="A607" s="19"/>
      <c r="B607" s="19"/>
      <c r="C607" s="25"/>
      <c r="D607" s="25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</row>
    <row r="608" spans="1:23" s="26" customFormat="1" x14ac:dyDescent="0.2">
      <c r="A608" s="19"/>
      <c r="B608" s="19"/>
      <c r="C608" s="25"/>
      <c r="D608" s="25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</row>
    <row r="609" spans="1:23" s="26" customFormat="1" x14ac:dyDescent="0.2">
      <c r="A609" s="19"/>
      <c r="B609" s="19"/>
      <c r="C609" s="25"/>
      <c r="D609" s="25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</row>
    <row r="610" spans="1:23" s="26" customFormat="1" x14ac:dyDescent="0.2">
      <c r="A610" s="19"/>
      <c r="B610" s="19"/>
      <c r="C610" s="25"/>
      <c r="D610" s="25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</row>
    <row r="611" spans="1:23" s="26" customFormat="1" x14ac:dyDescent="0.2">
      <c r="A611" s="19"/>
      <c r="B611" s="19"/>
      <c r="C611" s="25"/>
      <c r="D611" s="25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</row>
    <row r="612" spans="1:23" s="26" customFormat="1" x14ac:dyDescent="0.2">
      <c r="A612" s="19"/>
      <c r="B612" s="19"/>
      <c r="C612" s="25"/>
      <c r="D612" s="25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</row>
    <row r="613" spans="1:23" s="26" customFormat="1" x14ac:dyDescent="0.2">
      <c r="A613" s="19"/>
      <c r="B613" s="19"/>
      <c r="C613" s="25"/>
      <c r="D613" s="25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</row>
    <row r="614" spans="1:23" s="26" customFormat="1" x14ac:dyDescent="0.2">
      <c r="A614" s="19"/>
      <c r="B614" s="19"/>
      <c r="C614" s="25"/>
      <c r="D614" s="25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</row>
    <row r="615" spans="1:23" s="26" customFormat="1" ht="12.75" x14ac:dyDescent="0.2"/>
    <row r="616" spans="1:23" x14ac:dyDescent="0.2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</row>
    <row r="617" spans="1:23" x14ac:dyDescent="0.2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</row>
    <row r="618" spans="1:23" x14ac:dyDescent="0.2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</row>
    <row r="619" spans="1:23" x14ac:dyDescent="0.2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</row>
    <row r="620" spans="1:23" x14ac:dyDescent="0.2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</row>
    <row r="621" spans="1:23" x14ac:dyDescent="0.2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</row>
    <row r="622" spans="1:23" x14ac:dyDescent="0.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</row>
    <row r="623" spans="1:23" x14ac:dyDescent="0.2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</row>
    <row r="635" spans="5:5" x14ac:dyDescent="0.2">
      <c r="E635" s="16"/>
    </row>
    <row r="636" spans="5:5" x14ac:dyDescent="0.25">
      <c r="E636" s="18"/>
    </row>
    <row r="637" spans="5:5" x14ac:dyDescent="0.25">
      <c r="E637" s="18"/>
    </row>
    <row r="638" spans="5:5" x14ac:dyDescent="0.25">
      <c r="E638" s="18"/>
    </row>
    <row r="639" spans="5:5" x14ac:dyDescent="0.25">
      <c r="E639" s="18"/>
    </row>
    <row r="640" spans="5:5" x14ac:dyDescent="0.25">
      <c r="E640" s="18"/>
    </row>
    <row r="641" spans="2:5" x14ac:dyDescent="0.25">
      <c r="E641" s="18"/>
    </row>
    <row r="642" spans="2:5" x14ac:dyDescent="0.25">
      <c r="E642" s="18"/>
    </row>
    <row r="643" spans="2:5" x14ac:dyDescent="0.25">
      <c r="E643" s="18"/>
    </row>
    <row r="644" spans="2:5" x14ac:dyDescent="0.25">
      <c r="E644" s="18"/>
    </row>
    <row r="645" spans="2:5" x14ac:dyDescent="0.25">
      <c r="E645" s="18"/>
    </row>
    <row r="646" spans="2:5" x14ac:dyDescent="0.25">
      <c r="E646" s="18"/>
    </row>
    <row r="647" spans="2:5" x14ac:dyDescent="0.25">
      <c r="E647" s="18"/>
    </row>
    <row r="648" spans="2:5" x14ac:dyDescent="0.25">
      <c r="E648" s="18"/>
    </row>
    <row r="649" spans="2:5" x14ac:dyDescent="0.25">
      <c r="E649" s="18"/>
    </row>
    <row r="650" spans="2:5" x14ac:dyDescent="0.2">
      <c r="E650" s="16"/>
    </row>
    <row r="651" spans="2:5" x14ac:dyDescent="0.2">
      <c r="E651" s="16"/>
    </row>
    <row r="652" spans="2:5" x14ac:dyDescent="0.2">
      <c r="E652" s="16"/>
    </row>
    <row r="653" spans="2:5" x14ac:dyDescent="0.2">
      <c r="E653" s="16"/>
    </row>
    <row r="654" spans="2:5" x14ac:dyDescent="0.2">
      <c r="E654" s="16"/>
    </row>
    <row r="655" spans="2:5" x14ac:dyDescent="0.2">
      <c r="E655" s="16"/>
    </row>
    <row r="656" spans="2:5" x14ac:dyDescent="0.2">
      <c r="B656" s="16"/>
    </row>
  </sheetData>
  <sheetProtection sheet="1" objects="1" scenarios="1"/>
  <mergeCells count="4">
    <mergeCell ref="H1:K1"/>
    <mergeCell ref="L1:O1"/>
    <mergeCell ref="P1:S1"/>
    <mergeCell ref="D1:G1"/>
  </mergeCells>
  <phoneticPr fontId="25" type="noConversion"/>
  <dataValidations count="1">
    <dataValidation type="whole" allowBlank="1" showInputMessage="1" showErrorMessage="1" errorTitle="ВНИМАНИЕ!" error="В ячейке должно быть целое число (от нуля и до ...)" sqref="D4:W358" xr:uid="{00000000-0002-0000-0100-000000000000}">
      <formula1>0</formula1>
      <formula2>500000</formula2>
    </dataValidation>
  </dataValidations>
  <pageMargins left="0.78740157480314965" right="0.19685039370078741" top="0.19685039370078741" bottom="0.19685039370078741" header="0" footer="0"/>
  <pageSetup paperSize="9" scale="51" fitToHeight="0" orientation="portrait" r:id="rId1"/>
  <headerFooter alignWithMargins="0"/>
  <ignoredErrors>
    <ignoredError sqref="D100:U100 D64:U64 D82:U82 D136:U136 D143:U143 D153:U153 E162:U162 D183:U183 D190:U190 D195:U195 D206:U206 D214:U214 D228:U228 D237:U237 D243:U243 D258:U258 D273:U273 D279:U279 D294:U294 D302:U302 D315:U315 D317:U317 D329:U329 D336:U336" unlockedFormula="1"/>
    <ignoredError sqref="D345:P345 V345" formulaRange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pageSetUpPr fitToPage="1"/>
  </sheetPr>
  <dimension ref="A1:M336"/>
  <sheetViews>
    <sheetView showGridLines="0" zoomScale="85" zoomScaleNormal="85" zoomScaleSheetLayoutView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10" sqref="E10"/>
    </sheetView>
  </sheetViews>
  <sheetFormatPr defaultColWidth="9.140625" defaultRowHeight="15" x14ac:dyDescent="0.25"/>
  <cols>
    <col min="1" max="1" width="6.140625" bestFit="1" customWidth="1"/>
    <col min="2" max="2" width="86.5703125" customWidth="1"/>
    <col min="3" max="3" width="9.5703125" customWidth="1"/>
    <col min="4" max="6" width="17.7109375" style="126" customWidth="1"/>
    <col min="7" max="7" width="21.140625" style="33" customWidth="1"/>
    <col min="8" max="8" width="51" style="125" customWidth="1"/>
    <col min="9" max="9" width="51" style="29" customWidth="1"/>
    <col min="10" max="10" width="22" style="29" customWidth="1"/>
    <col min="11" max="11" width="19.28515625" style="29" customWidth="1"/>
    <col min="12" max="12" width="14.7109375" style="29" customWidth="1"/>
    <col min="13" max="13" width="26" customWidth="1"/>
  </cols>
  <sheetData>
    <row r="1" spans="1:13" ht="15.75" x14ac:dyDescent="0.25">
      <c r="A1" s="13" t="s">
        <v>501</v>
      </c>
      <c r="B1" s="117" t="s">
        <v>921</v>
      </c>
      <c r="C1" s="14" t="s">
        <v>500</v>
      </c>
      <c r="D1" s="14" t="s">
        <v>807</v>
      </c>
      <c r="E1" s="14" t="s">
        <v>503</v>
      </c>
      <c r="F1" s="14" t="s">
        <v>15</v>
      </c>
      <c r="G1" s="31" t="s">
        <v>502</v>
      </c>
      <c r="H1" s="30" t="s">
        <v>526</v>
      </c>
      <c r="I1" s="28" t="s">
        <v>808</v>
      </c>
      <c r="J1" s="28" t="s">
        <v>809</v>
      </c>
      <c r="K1" s="28" t="s">
        <v>810</v>
      </c>
      <c r="L1" s="28" t="s">
        <v>811</v>
      </c>
      <c r="M1" s="15" t="s">
        <v>530</v>
      </c>
    </row>
    <row r="2" spans="1:13" ht="15.75" x14ac:dyDescent="0.25">
      <c r="A2" s="68" t="s">
        <v>511</v>
      </c>
      <c r="B2" s="69"/>
      <c r="C2" s="159"/>
      <c r="D2" s="160">
        <v>1</v>
      </c>
      <c r="E2" s="160">
        <v>2</v>
      </c>
      <c r="F2" s="160">
        <v>3</v>
      </c>
      <c r="G2" s="160">
        <v>4</v>
      </c>
      <c r="H2" s="161">
        <v>5</v>
      </c>
      <c r="I2" s="162">
        <v>6</v>
      </c>
      <c r="J2" s="162">
        <v>7</v>
      </c>
      <c r="K2" s="162">
        <v>8</v>
      </c>
      <c r="L2" s="162">
        <v>9</v>
      </c>
      <c r="M2" s="159"/>
    </row>
    <row r="3" spans="1:13" ht="20.100000000000001" customHeight="1" x14ac:dyDescent="0.25">
      <c r="A3" s="68" t="s">
        <v>512</v>
      </c>
      <c r="B3" s="72" t="s">
        <v>509</v>
      </c>
      <c r="C3" s="156">
        <v>0</v>
      </c>
      <c r="D3" s="156">
        <v>1</v>
      </c>
      <c r="E3" s="156">
        <v>2</v>
      </c>
      <c r="F3" s="156">
        <v>3</v>
      </c>
      <c r="G3" s="156">
        <v>4</v>
      </c>
      <c r="H3" s="157">
        <v>5</v>
      </c>
      <c r="I3" s="158">
        <v>6</v>
      </c>
      <c r="J3" s="158">
        <v>7</v>
      </c>
      <c r="K3" s="158">
        <v>8</v>
      </c>
      <c r="L3" s="158">
        <v>9</v>
      </c>
      <c r="M3" s="159">
        <v>10</v>
      </c>
    </row>
    <row r="4" spans="1:13" ht="20.100000000000001" customHeight="1" x14ac:dyDescent="0.25">
      <c r="A4" s="73" t="s">
        <v>512</v>
      </c>
      <c r="B4" s="74" t="s">
        <v>135</v>
      </c>
      <c r="C4" s="45">
        <v>1</v>
      </c>
      <c r="D4" s="140"/>
      <c r="E4" s="140">
        <v>66</v>
      </c>
      <c r="F4" s="140"/>
      <c r="G4" s="140"/>
      <c r="H4" s="127" t="str">
        <f>CONCATENATE(Р2[[#This Row],[Пр. ПРОК]]," ",Р2[[#This Row],[Пр. МВД]]," ",Р2[[#This Row],[Пр. ГКНБ]]," ",Р2[[#This Row],[Пр. ГСИН]])</f>
        <v xml:space="preserve">   </v>
      </c>
      <c r="I4" s="70" t="str">
        <f>IF((D4+D5)=(D17+D47+D51+D56+D62),"",CONCATENATE("Прок: (",$C4,"+",$C5,")=(",$C17,"+",$C47,"+",$C51,"+",$C56,"+",$C62,")"))</f>
        <v/>
      </c>
      <c r="J4" s="70" t="str">
        <f>IF((E4+E5)=(E17+E47+E51+E56+E62),"",CONCATENATE(Р2[[#Headers],[МВД]],": (",$C4,"+",$C5,")=(",$C17,"+",$C47,"+",$C51,"+",$C56,"+",$C62,")"))</f>
        <v/>
      </c>
      <c r="K4" s="70" t="str">
        <f>IF((F4+F5)=(F17+F47+F51+F56+F62),"",CONCATENATE(Р2[[#Headers],[ГКНБ]],": (",$C4,"+",$C5,")=(",$C17,"+",$C47,"+",$C51,"+",$C56,"+",$C62,")"))</f>
        <v/>
      </c>
      <c r="L4" s="70" t="str">
        <f>IF((G4+G5)=(G17+G47+G51+G56+G62),"",CONCATENATE(Р2[[#Headers],[ГСИН]],": (",$C4,"+",$C5,")=(",$C17,"+",$C47,"+",$C51,"+",$C56,"+",$C62,")"))</f>
        <v/>
      </c>
      <c r="M4" s="71"/>
    </row>
    <row r="5" spans="1:13" ht="20.100000000000001" customHeight="1" x14ac:dyDescent="0.25">
      <c r="A5" s="73" t="s">
        <v>512</v>
      </c>
      <c r="B5" s="74" t="s">
        <v>134</v>
      </c>
      <c r="C5" s="45">
        <v>2</v>
      </c>
      <c r="D5" s="141">
        <f>SUM(D6,D10,D11,D12,D14,D15,D16,)</f>
        <v>0</v>
      </c>
      <c r="E5" s="141">
        <f>SUM(E6,E10,E11,E12,E14,E15,E16,)</f>
        <v>5892</v>
      </c>
      <c r="F5" s="141">
        <f>SUM(F6,F10,F11,F12,F14,F15,F16,)</f>
        <v>0</v>
      </c>
      <c r="G5" s="141">
        <f>SUM(G6,G10,G11,G12,G14,G15,G16,)</f>
        <v>0</v>
      </c>
      <c r="H5" s="118" t="str">
        <f>CONCATENATE(Р2[[#This Row],[Пр. ПРОК]]," ",Р2[[#This Row],[Пр. МВД]]," ",Р2[[#This Row],[Пр. ГКНБ]]," ",Р2[[#This Row],[Пр. ГСИН]])</f>
        <v xml:space="preserve">   </v>
      </c>
      <c r="I5" s="70"/>
      <c r="J5" s="70"/>
      <c r="K5" s="70"/>
      <c r="L5" s="70"/>
      <c r="M5" s="71"/>
    </row>
    <row r="6" spans="1:13" ht="20.100000000000001" customHeight="1" x14ac:dyDescent="0.25">
      <c r="A6" s="73" t="s">
        <v>512</v>
      </c>
      <c r="B6" s="76" t="s">
        <v>133</v>
      </c>
      <c r="C6" s="45">
        <v>3</v>
      </c>
      <c r="D6" s="140"/>
      <c r="E6" s="163">
        <v>2866</v>
      </c>
      <c r="F6" s="140"/>
      <c r="G6" s="140"/>
      <c r="H6" s="119" t="str">
        <f>CONCATENATE(Р2[[#This Row],[Пр. ПРОК]]," ",Р2[[#This Row],[Пр. МВД]]," ",Р2[[#This Row],[Пр. ГКНБ]]," ",Р2[[#This Row],[Пр. ГСИН]])</f>
        <v xml:space="preserve"> МВД: 3=288+299+300  </v>
      </c>
      <c r="I6" s="77" t="str">
        <f>IF(Р2[[#This Row],[Прокуратура]]=D291+D302+D303,"",CONCATENATE("Прок: ",Р2[[#This Row],[№]],"=",$C$291,"+",$C$302,"+",$C$303))</f>
        <v/>
      </c>
      <c r="J6" s="77" t="str">
        <f>IF(Р2[[#This Row],[МВД]]=E291+E302+E303,"",CONCATENATE("МВД: ",Р2[[#This Row],[№]],"=",$C$291,"+",$C$302,"+",$C$303))</f>
        <v>МВД: 3=288+299+300</v>
      </c>
      <c r="K6" s="77" t="str">
        <f>IF(Р2[[#This Row],[ГКНБ]]=F291+F302+F303,"",CONCATENATE("ГКНБ: ",Р2[[#This Row],[№]],"=",$C$291,"+",$C$302,"+",$C$303))</f>
        <v/>
      </c>
      <c r="L6" s="77" t="str">
        <f>IF(Р2[[#This Row],[ГСИН]]=G291+G302+G303,"",CONCATENATE("ГСИН: ",Р2[[#This Row],[№]],"=",$C$291,"+",$C$302,"+",$C$303))</f>
        <v/>
      </c>
      <c r="M6" s="71"/>
    </row>
    <row r="7" spans="1:13" ht="20.100000000000001" customHeight="1" x14ac:dyDescent="0.25">
      <c r="A7" s="73" t="s">
        <v>512</v>
      </c>
      <c r="B7" s="78" t="s">
        <v>132</v>
      </c>
      <c r="C7" s="45">
        <v>4</v>
      </c>
      <c r="D7" s="140"/>
      <c r="E7" s="163">
        <v>2</v>
      </c>
      <c r="F7" s="140"/>
      <c r="G7" s="140"/>
      <c r="H7" s="119" t="str">
        <f>CONCATENATE(Р2[[#This Row],[Пр. ПРОК]]," ",Р2[[#This Row],[Пр. МВД]]," ",Р2[[#This Row],[Пр. ГКНБ]]," ",Р2[[#This Row],[Пр. ГСИН]])</f>
        <v xml:space="preserve">   </v>
      </c>
      <c r="I7" s="77" t="str">
        <f>IF(D303=Р2[[#This Row],[Прокуратура]],"",CONCATENATE("Прок: ",Р2[[#This Row],[№]],"="&amp;$C$303))</f>
        <v/>
      </c>
      <c r="J7" s="77" t="str">
        <f>IF(E303=Р2[[#This Row],[МВД]],"",CONCATENATE(Р2[[#Headers],[МВД]],": ",Р2[[#This Row],[№]],"="&amp;$C$303))</f>
        <v/>
      </c>
      <c r="K7" s="77" t="str">
        <f>IF(F303=Р2[[#This Row],[ГКНБ]],"",CONCATENATE(Р2[[#Headers],[ГКНБ]],": ",Р2[[#This Row],[№]],"="&amp;$C$303))</f>
        <v/>
      </c>
      <c r="L7" s="77" t="str">
        <f>IF(G303=Р2[[#This Row],[ГСИН]],"",CONCATENATE(Р2[[#Headers],[ГСИН]],": ",Р2[[#This Row],[№]],"="&amp;$C$303))</f>
        <v/>
      </c>
      <c r="M7" s="71"/>
    </row>
    <row r="8" spans="1:13" ht="20.100000000000001" customHeight="1" x14ac:dyDescent="0.25">
      <c r="A8" s="73"/>
      <c r="B8" s="79" t="s">
        <v>529</v>
      </c>
      <c r="C8" s="45">
        <v>5</v>
      </c>
      <c r="D8" s="140"/>
      <c r="E8" s="163">
        <v>325</v>
      </c>
      <c r="F8" s="140"/>
      <c r="G8" s="140"/>
      <c r="H8" s="119" t="str">
        <f>CONCATENATE(Р2[[#This Row],[Пр. ПРОК]]," ",Р2[[#This Row],[Пр. МВД]]," ",Р2[[#This Row],[Пр. ГКНБ]]," ",Р2[[#This Row],[Пр. ГСИН]])</f>
        <v xml:space="preserve">   </v>
      </c>
      <c r="I8" s="77" t="str">
        <f>IF(Р2[[#This Row],[Прокуратура]]=D302,"",CONCATENATE("Прок: ",Р2[[#This Row],[№]],"=",$C$302))</f>
        <v/>
      </c>
      <c r="J8" s="77" t="str">
        <f>IF(Р2[[#This Row],[МВД]]=E302,"",CONCATENATE(Р2[[#Headers],[МВД]],": ",Р2[[#This Row],[№]],"=",$C$302))</f>
        <v/>
      </c>
      <c r="K8" s="77" t="str">
        <f>IF(Р2[[#This Row],[ГКНБ]]=F302,"",CONCATENATE(Р2[[#Headers],[ГКНБ]],": ",Р2[[#This Row],[№]],"=",$C$302))</f>
        <v/>
      </c>
      <c r="L8" s="77" t="str">
        <f>IF(Р2[[#This Row],[ГСИН]]=G302,"",CONCATENATE(Р2[[#Headers],[ГСИН]],": ",Р2[[#This Row],[№]],"=",$C$302))</f>
        <v/>
      </c>
      <c r="M8" s="71"/>
    </row>
    <row r="9" spans="1:13" ht="20.100000000000001" customHeight="1" x14ac:dyDescent="0.25">
      <c r="A9" s="73" t="s">
        <v>512</v>
      </c>
      <c r="B9" s="78" t="s">
        <v>131</v>
      </c>
      <c r="C9" s="45">
        <v>6</v>
      </c>
      <c r="D9" s="140"/>
      <c r="E9" s="163">
        <v>1</v>
      </c>
      <c r="F9" s="140"/>
      <c r="G9" s="140"/>
      <c r="H9" s="118" t="str">
        <f>CONCATENATE(Р2[[#This Row],[Пр. ПРОК]]," ",Р2[[#This Row],[Пр. МВД]]," ",Р2[[#This Row],[Пр. ГКНБ]]," ",Р2[[#This Row],[Пр. ГСИН]])</f>
        <v xml:space="preserve">   </v>
      </c>
      <c r="I9" s="70"/>
      <c r="J9" s="70"/>
      <c r="K9" s="70"/>
      <c r="L9" s="70"/>
      <c r="M9" s="71"/>
    </row>
    <row r="10" spans="1:13" ht="20.100000000000001" customHeight="1" x14ac:dyDescent="0.25">
      <c r="A10" s="73" t="s">
        <v>512</v>
      </c>
      <c r="B10" s="76" t="s">
        <v>130</v>
      </c>
      <c r="C10" s="45">
        <v>7</v>
      </c>
      <c r="D10" s="140"/>
      <c r="E10" s="163">
        <v>58</v>
      </c>
      <c r="F10" s="140"/>
      <c r="G10" s="140"/>
      <c r="H10" s="118" t="str">
        <f>CONCATENATE(Р2[[#This Row],[Пр. ПРОК]]," ",Р2[[#This Row],[Пр. МВД]]," ",Р2[[#This Row],[Пр. ГКНБ]]," ",Р2[[#This Row],[Пр. ГСИН]])</f>
        <v xml:space="preserve">   </v>
      </c>
      <c r="I10" s="70"/>
      <c r="J10" s="70"/>
      <c r="K10" s="70"/>
      <c r="L10" s="70"/>
      <c r="M10" s="71"/>
    </row>
    <row r="11" spans="1:13" ht="20.100000000000001" customHeight="1" x14ac:dyDescent="0.25">
      <c r="A11" s="73" t="s">
        <v>512</v>
      </c>
      <c r="B11" s="76" t="s">
        <v>129</v>
      </c>
      <c r="C11" s="45">
        <v>8</v>
      </c>
      <c r="D11" s="140"/>
      <c r="E11" s="163">
        <v>69</v>
      </c>
      <c r="F11" s="140"/>
      <c r="G11" s="140"/>
      <c r="H11" s="118" t="str">
        <f>CONCATENATE(Р2[[#This Row],[Пр. ПРОК]]," ",Р2[[#This Row],[Пр. МВД]]," ",Р2[[#This Row],[Пр. ГКНБ]]," ",Р2[[#This Row],[Пр. ГСИН]])</f>
        <v xml:space="preserve">   </v>
      </c>
      <c r="I11" s="70"/>
      <c r="J11" s="70"/>
      <c r="K11" s="70"/>
      <c r="L11" s="70"/>
      <c r="M11" s="71"/>
    </row>
    <row r="12" spans="1:13" ht="20.100000000000001" customHeight="1" x14ac:dyDescent="0.25">
      <c r="A12" s="73" t="s">
        <v>512</v>
      </c>
      <c r="B12" s="75" t="s">
        <v>128</v>
      </c>
      <c r="C12" s="45">
        <v>9</v>
      </c>
      <c r="D12" s="140"/>
      <c r="E12" s="163">
        <v>9</v>
      </c>
      <c r="F12" s="140"/>
      <c r="G12" s="140"/>
      <c r="H12" s="119" t="str">
        <f>CONCATENATE(Р2[[#This Row],[Пр. ПРОК]]," ",Р2[[#This Row],[Пр. МВД]]," ",Р2[[#This Row],[Пр. ГКНБ]]," ",Р2[[#This Row],[Пр. ГСИН]])</f>
        <v xml:space="preserve">   </v>
      </c>
      <c r="I12" s="77" t="str">
        <f>CONCATENATE(IF((Р2[[#This Row],[Прокуратура]]-D13)=(D21-D22),"",CONCATENATE("Прок: ","(",Р2[[#This Row],[№]],"-",$C$13,")=(",$C$21,"-",$C$22,")")),IF(Р2[[#This Row],[Прокуратура]]=SUM(D215,D217,D221,D222,D223),"",CONCATENATE("Прок: ","(",$C$12,")=(",$C$215,"+",$C$217,"+",$C$221,"+",$C$223,")")))</f>
        <v/>
      </c>
      <c r="J12" s="77" t="str">
        <f>CONCATENATE(IF((Р2[[#This Row],[МВД]]-E13)=(E21-E22),"",CONCATENATE("МВД: ","(",Р2[[#This Row],[МВД]],"-",$C$13,")=(",$C$21,"-",$C$22,")")),IF(Р2[[#This Row],[МВД]]=SUM(E215,E217,E221,E222,E223),"",CONCATENATE("МВД: ","(",$C$12,")=(",$C$215,"+",$C$217,"+",$C$221,"+",$C$223,")")))</f>
        <v/>
      </c>
      <c r="K12" s="77" t="str">
        <f>CONCATENATE(IF((Р2[[#This Row],[ГКНБ]]-F13)=(F21-F22),"",CONCATENATE("ГКНБ: ","(",Р2[[#This Row],[ГКНБ]],"-",$C$13,")=(",$C$21,"-",$C$22,")")),IF(Р2[[#This Row],[ГКНБ]]=SUM(F215,F217,F221,F222,F223),"",CONCATENATE("ГКНБ: ","(",$C$12,")=(",$C$215,"+",$C$217,"+",$C$221,"+",$C$223,")")))</f>
        <v/>
      </c>
      <c r="L12" s="77" t="str">
        <f>CONCATENATE(IF((Р2[[#This Row],[ГСИН]]-G13)=(G21-G22),"",CONCATENATE("ГСИН: ","(",Р2[[#This Row],[ГСИН]],"-",$C$13,")=(",$C$21,"-",$C$22,")")),IF(Р2[[#This Row],[ГСИН]]=SUM(G215,G217,G221,G222,G223),"",CONCATENATE("ГСИН: ","(",$C$12,")=(",$C$215,"+",$C$217,"+",$C$221,"+",$C$223,")")))</f>
        <v/>
      </c>
      <c r="M12" s="71"/>
    </row>
    <row r="13" spans="1:13" ht="20.100000000000001" customHeight="1" x14ac:dyDescent="0.25">
      <c r="A13" s="73" t="s">
        <v>512</v>
      </c>
      <c r="B13" s="79" t="s">
        <v>127</v>
      </c>
      <c r="C13" s="45">
        <v>10</v>
      </c>
      <c r="D13" s="140"/>
      <c r="E13" s="163">
        <v>6</v>
      </c>
      <c r="F13" s="150"/>
      <c r="G13" s="140"/>
      <c r="H13" s="119" t="str">
        <f>CONCATENATE(Р2[[#This Row],[Пр. ПРОК]]," ",Р2[[#This Row],[Пр. МВД]]," ",Р2[[#This Row],[Пр. ГКНБ]]," ",Р2[[#This Row],[Пр. ГСИН]])</f>
        <v xml:space="preserve">   </v>
      </c>
      <c r="I13" s="77" t="str">
        <f>IF(D12&gt;=Р2[[#This Row],[Прокуратура]],"",CONCATENATE("Прок: ",$C$12,"&gt;=",$C$13))</f>
        <v/>
      </c>
      <c r="J13" s="77" t="str">
        <f>IF(E12&gt;=Р2[[#This Row],[МВД]],"",CONCATENATE(Р2[[#Headers],[МВД]],": ",$C$12,"&gt;=",$C$13))</f>
        <v/>
      </c>
      <c r="K13" s="77" t="str">
        <f>IF(F12&gt;=Р2[[#This Row],[ГКНБ]],"",CONCATENATE(Р2[[#Headers],[ГКНБ]],": ",$C$12,"&gt;=",$C$13))</f>
        <v/>
      </c>
      <c r="L13" s="77" t="str">
        <f>IF(G12&gt;=Р2[[#This Row],[ГСИН]],"",CONCATENATE(Р2[[#Headers],[ГСИН]],": ",$C$12,"&gt;=",$C$13))</f>
        <v/>
      </c>
      <c r="M13" s="71"/>
    </row>
    <row r="14" spans="1:13" ht="20.100000000000001" customHeight="1" x14ac:dyDescent="0.25">
      <c r="A14" s="73" t="s">
        <v>512</v>
      </c>
      <c r="B14" s="76" t="s">
        <v>126</v>
      </c>
      <c r="C14" s="45">
        <v>11</v>
      </c>
      <c r="D14" s="140"/>
      <c r="E14" s="163">
        <v>2782</v>
      </c>
      <c r="F14" s="140"/>
      <c r="G14" s="140"/>
      <c r="H14" s="119" t="str">
        <f>CONCATENATE(Р2[[#This Row],[Пр. ПРОК]]," ",Р2[[#This Row],[Пр. МВД]]," ",Р2[[#This Row],[Пр. ГКНБ]]," ",Р2[[#This Row],[Пр. ГСИН]])</f>
        <v xml:space="preserve">   </v>
      </c>
      <c r="I14" s="77" t="str">
        <f>IF((D127+D148)=Р2[[#This Row],[Прокуратура]],"",CONCATENATE("Прок: ",$C$14,"=(",$C$127,"+",$C$148,")"))</f>
        <v/>
      </c>
      <c r="J14" s="77" t="str">
        <f>IF((E127+E148)=Р2[[#This Row],[МВД]],"",CONCATENATE(Р2[[#Headers],[МВД]],": ",$C$14,"=(",$C$127,"+",$C$148,")"))</f>
        <v/>
      </c>
      <c r="K14" s="77" t="str">
        <f>IF((F127+F148)=Р2[[#This Row],[ГКНБ]],"",CONCATENATE(Р2[[#Headers],[ГКНБ]],": ",$C$14,"=(",$C$127,"+",$C$148,")"))</f>
        <v/>
      </c>
      <c r="L14" s="77" t="str">
        <f>IF((G127+G148)=Р2[[#This Row],[ГСИН]],"",CONCATENATE(Р2[[#Headers],[ГСИН]],": ",$C$14,"=(",$C$127,"+",$C$148,")"))</f>
        <v/>
      </c>
      <c r="M14" s="71"/>
    </row>
    <row r="15" spans="1:13" ht="20.100000000000001" customHeight="1" x14ac:dyDescent="0.25">
      <c r="A15" s="73" t="s">
        <v>512</v>
      </c>
      <c r="B15" s="76" t="s">
        <v>125</v>
      </c>
      <c r="C15" s="45">
        <v>12</v>
      </c>
      <c r="D15" s="140"/>
      <c r="E15" s="163">
        <v>108</v>
      </c>
      <c r="F15" s="140"/>
      <c r="G15" s="140"/>
      <c r="H15" s="119" t="str">
        <f>CONCATENATE(Р2[[#This Row],[Пр. ПРОК]]," ",Р2[[#This Row],[Пр. МВД]]," ",Р2[[#This Row],[Пр. ГКНБ]]," ",Р2[[#This Row],[Пр. ГСИН]])</f>
        <v xml:space="preserve">   </v>
      </c>
      <c r="I15" s="77" t="str">
        <f>IF(Р2[[#This Row],[Прокуратура]]=D108,"",CONCATENATE("Прок: ",$C$15,"=",$C$108,))</f>
        <v/>
      </c>
      <c r="J15" s="77" t="str">
        <f>IF(Р2[[#This Row],[МВД]]=E108,"",CONCATENATE(Р2[[#Headers],[МВД]],": ",$C$15,"=",$C$108,))</f>
        <v/>
      </c>
      <c r="K15" s="77" t="str">
        <f>IF(Р2[[#This Row],[ГКНБ]]=F108,"",CONCATENATE(Р2[[#Headers],[ГКНБ]],": ",$C$15,"=",$C$108,))</f>
        <v/>
      </c>
      <c r="L15" s="77" t="str">
        <f>IF(Р2[[#This Row],[ГСИН]]=G108,"",CONCATENATE(Р2[[#Headers],[ГСИН]],": ",$C$15,"=",$C$108,))</f>
        <v/>
      </c>
      <c r="M15" s="71"/>
    </row>
    <row r="16" spans="1:13" ht="30" customHeight="1" x14ac:dyDescent="0.25">
      <c r="A16" s="73" t="s">
        <v>512</v>
      </c>
      <c r="B16" s="116" t="s">
        <v>864</v>
      </c>
      <c r="C16" s="45">
        <v>13</v>
      </c>
      <c r="D16" s="142"/>
      <c r="E16" s="142"/>
      <c r="F16" s="142"/>
      <c r="G16" s="142"/>
      <c r="H16" s="119" t="str">
        <f>CONCATENATE(Р2[[#This Row],[Пр. ПРОК]]," ",Р2[[#This Row],[Пр. МВД]]," ",Р2[[#This Row],[Пр. ГКНБ]]," ",Р2[[#This Row],[Пр. ГСИН]])</f>
        <v xml:space="preserve">   </v>
      </c>
      <c r="I16" s="80" t="str">
        <f>IF(Р2[[#This Row],[Прокуратура]]=SUM(D224:D229),"",CONCATENATE("Прок: ",$C$16,"=(",$C$224,"+",$C$225,"+",$C$226,"+",$C$227,"+",$C$228,"+",$C$229,")"))</f>
        <v/>
      </c>
      <c r="J16" s="80" t="str">
        <f>IF(Р2[[#This Row],[МВД]]=SUM(E224:E229),"",CONCATENATE(Р2[[#Headers],[МВД]],": ",$C$16,"=(",$C$224,"+",$C$225,"+",$C$226,"+",$C$227,"+",$C$228,"+",$C$229,")"))</f>
        <v/>
      </c>
      <c r="K16" s="80" t="str">
        <f>IF(Р2[[#This Row],[ГКНБ]]=SUM(F224:F229),"",CONCATENATE(Р2[[#Headers],[ГКНБ]],": ",$C$16,"=(",$C$224,"+",$C$225,"+",$C$226,"+",$C$227,"+",$C$228,"+",$C$229,")"))</f>
        <v/>
      </c>
      <c r="L16" s="80" t="str">
        <f>IF(Р2[[#This Row],[ГСИН]]=SUM(G224:G229),"",CONCATENATE(Р2[[#Headers],[ГСИН]],": ",$C$16,"=(",$C$224,"+",$C$225,"+",$C$226,"+",$C$227,"+",$C$228,"+",$C$229,")"))</f>
        <v/>
      </c>
      <c r="M16" s="71"/>
    </row>
    <row r="17" spans="1:13" ht="15.75" x14ac:dyDescent="0.25">
      <c r="A17" s="73" t="s">
        <v>512</v>
      </c>
      <c r="B17" s="81" t="s">
        <v>124</v>
      </c>
      <c r="C17" s="45">
        <v>14</v>
      </c>
      <c r="D17" s="140"/>
      <c r="E17" s="163">
        <v>3924</v>
      </c>
      <c r="F17" s="140"/>
      <c r="G17" s="140"/>
      <c r="H17" s="122" t="str">
        <f>CONCATENATE(Р2[[#This Row],[Пр. ПРОК]]," ",Р2[[#This Row],[Пр. МВД]]," ",Р2[[#This Row],[Пр. ГКНБ]]," ",Р2[[#This Row],[Пр. ГСИН]])</f>
        <v xml:space="preserve">       </v>
      </c>
      <c r="I17" s="82" t="str">
        <f>CONCATENATE(IF(Р2[[#This Row],[Прокуратура]]=(D21+D25+D28),"",CONCATENATE("Прок: ",$C$17,"=(",$C$21,"+",$C$25,"+",$C$28,")"))," ",IF(Р2[[#This Row],[Прокуратура]]=('Отчет 1-Е Р.1'!E354+'Отчет 1-Е Р.1'!G354+'Отчет 1-Е Р.1'!E357+'Отчет 1-Е Р.1'!G357+Р.2!D29+Р.2!D115+Р.2!D215+D224),"",CONCATENATE("Прок: ",$C$17,"=(Р1:",'Отчет 1-Е Р.1'!$C$354,"(в суд)+Р1:",'Отчет 1-Е Р.1'!$C$354,"(прекращ.)+Р1:",'Отчет 1-Е Р.1'!$C$357,"(в суд)+Р1:",'Отчет 1-Е Р.1'!$C$357,"(прекращ)+",Р.2!$C$29,"+",Р.2!$C$115,"+",Р.2!$C$215,"+",Р.2!$C$224,")")))</f>
        <v xml:space="preserve"> </v>
      </c>
      <c r="J17" s="82" t="str">
        <f>CONCATENATE(IF(Р2[[#This Row],[МВД]]=(E21+E25+E28),"",CONCATENATE(Р2[[#Headers],[МВД]],": ",$C$17,"=(",$C$21,"+",$C$25,"+",$C$28,")"))," ",IF(Р2[[#This Row],[МВД]]=('Отчет 1-Е Р.1'!I354+'Отчет 1-Е Р.1'!K354+'Отчет 1-Е Р.1'!I357+'Отчет 1-Е Р.1'!K357+Р.2!E29+Р.2!E115+Р.2!E215+E224),"",CONCATENATE(Р2[[#Headers],[МВД]],": ",$C$17,"=(Р1:",'Отчет 1-Е Р.1'!$C$354,"(в суд)+Р1:",'Отчет 1-Е Р.1'!$C$354,"(прекращ.)+Р1:",'Отчет 1-Е Р.1'!$C$357,"(в суд)+Р1:",'Отчет 1-Е Р.1'!$C$357,"(прекращ)+",Р.2!$C$29,"+",Р.2!$C$115,"+",Р.2!$C$215,"+",Р.2!$C$224,")")))</f>
        <v xml:space="preserve"> </v>
      </c>
      <c r="K17" s="82" t="str">
        <f>CONCATENATE(IF(Р2[[#This Row],[ГКНБ]]=(F21+F25+F28),"",CONCATENATE(Р2[[#Headers],[ГКНБ]],": ",$C$17,"=(",$C$21,"+",$C$25,"+",$C$28,")"))," ",IF(Р2[[#This Row],[ГКНБ]]=('Отчет 1-Е Р.1'!M354+'Отчет 1-Е Р.1'!O354+'Отчет 1-Е Р.1'!M357+'Отчет 1-Е Р.1'!O357+Р.2!F29+Р.2!F115+Р.2!F215+F224),"",CONCATENATE(Р2[[#Headers],[ГКНБ]],": ",$C$17,"=(Р1:",'Отчет 1-Е Р.1'!$C$354,"(в суд)+Р1:",'Отчет 1-Е Р.1'!$C$354,"(прекращ.)+Р1:",'Отчет 1-Е Р.1'!$C$357,"(в суд)+Р1:",'Отчет 1-Е Р.1'!$C$357,"(прекращ)+",Р.2!$C$29,"+",Р.2!$C$115,"+",Р.2!$C$215,"+",Р.2!$C$224,")")))</f>
        <v xml:space="preserve"> </v>
      </c>
      <c r="L17" s="80" t="str">
        <f>CONCATENATE(IF(Р2[[#This Row],[ГСИН]]=(G21+G25+G28),"",CONCATENATE(Р2[[#Headers],[ГСИН]],": ",$C$17,"=(",$C$21,"+",$C$25,"+",$C$28,")"))," ",IF(Р2[[#This Row],[ГСИН]]=('Отчет 1-Е Р.1'!Q354+'Отчет 1-Е Р.1'!S354+'Отчет 1-Е Р.1'!Q357+'Отчет 1-Е Р.1'!S357+Р.2!G29+Р.2!G115+Р.2!G215+G224),"",CONCATENATE(Р2[[#Headers],[ГСИН]],": ",$C$17,"=(Р1:",'Отчет 1-Е Р.1'!$C$354,"(в суд)+Р1:",'Отчет 1-Е Р.1'!$C$354,"(прекращ.)+Р1:",'Отчет 1-Е Р.1'!$C$357,"(в суд)+Р1:",'Отчет 1-Е Р.1'!$C$357,"(прекращ)+",Р.2!$C$29,"+",Р.2!$C$115,"+",Р.2!$C$215,"+",Р.2!$C$224,")")))</f>
        <v xml:space="preserve"> </v>
      </c>
      <c r="M17" s="71"/>
    </row>
    <row r="18" spans="1:13" ht="20.100000000000001" customHeight="1" x14ac:dyDescent="0.25">
      <c r="A18" s="73" t="s">
        <v>512</v>
      </c>
      <c r="B18" s="78" t="s">
        <v>123</v>
      </c>
      <c r="C18" s="45">
        <v>15</v>
      </c>
      <c r="D18" s="140"/>
      <c r="E18" s="168">
        <v>186</v>
      </c>
      <c r="F18" s="140"/>
      <c r="G18" s="140"/>
      <c r="H18" s="119" t="str">
        <f>CONCATENATE(Р2[[#This Row],[Пр. ПРОК]]," ",Р2[[#This Row],[Пр. МВД]]," ",Р2[[#This Row],[Пр. ГКНБ]]," ",Р2[[#This Row],[Пр. ГСИН]])</f>
        <v xml:space="preserve">       </v>
      </c>
      <c r="I18" s="77" t="str">
        <f>CONCATENATE(IF(Р2[[#This Row],[Прокуратура]]&lt;=D17,"",CONCATENATE("Прок: ",$C$17,"&gt;=",$C$18))," ",IF(Р2[[#This Row],[Прокуратура]]&gt;=(D23+D30),"",CONCATENATE("Прок: ",$C$18,"&gt;=","(",$C$23,"+",$C$30,")")))</f>
        <v xml:space="preserve"> </v>
      </c>
      <c r="J18" s="80" t="str">
        <f>CONCATENATE(IF(Р2[[#This Row],[МВД]]&lt;=E17,"",CONCATENATE(Р2[[#Headers],[МВД]],": ",$C$17,"&gt;=",$C$18))," ",IF(Р2[[#This Row],[МВД]]&gt;=(E23+E30),"",CONCATENATE(Р2[[#Headers],[МВД]],": ",$C$18,"&gt;=","(",$C$23,"+",$C$30,")")))</f>
        <v xml:space="preserve"> </v>
      </c>
      <c r="K18" s="80" t="str">
        <f>CONCATENATE(IF(Р2[[#This Row],[ГКНБ]]&lt;=F17,"",CONCATENATE(Р2[[#Headers],[ГКНБ]],": ",$C$17,"&gt;=",$C$18))," ",IF(Р2[[#This Row],[ГКНБ]]&gt;=(F23+F30),"",CONCATENATE(Р2[[#Headers],[ГКНБ]],": ",$C$18,"&gt;=","(",$C$23,"+",$C$30,")")))</f>
        <v xml:space="preserve"> </v>
      </c>
      <c r="L18" s="80" t="str">
        <f>CONCATENATE(IF(Р2[[#This Row],[ГСИН]]&lt;=G17,"",CONCATENATE(Р2[[#Headers],[ГСИН]],": ",$C$17,"&gt;=",$C$18))," ",IF(Р2[[#This Row],[ГСИН]]&gt;=(G23+G30),"",CONCATENATE(Р2[[#Headers],[ГСИН]],": ",$C$18,"&gt;=","(",$C$23,"+",$C$30,")")))</f>
        <v xml:space="preserve"> </v>
      </c>
      <c r="M18" s="71"/>
    </row>
    <row r="19" spans="1:13" ht="20.100000000000001" customHeight="1" x14ac:dyDescent="0.25">
      <c r="A19" s="73" t="s">
        <v>512</v>
      </c>
      <c r="B19" s="78" t="s">
        <v>834</v>
      </c>
      <c r="C19" s="45">
        <v>16</v>
      </c>
      <c r="D19" s="140"/>
      <c r="E19" s="168">
        <v>88</v>
      </c>
      <c r="F19" s="140"/>
      <c r="G19" s="140"/>
      <c r="H19" s="119" t="str">
        <f>CONCATENATE(Р2[[#This Row],[Пр. ПРОК]]," ",Р2[[#This Row],[Пр. МВД]]," ",Р2[[#This Row],[Пр. ГКНБ]]," ",Р2[[#This Row],[Пр. ГСИН]])</f>
        <v xml:space="preserve">       </v>
      </c>
      <c r="I19" s="77" t="str">
        <f>CONCATENATE(IF(Р2[[#This Row],[Прокуратура]]&lt;=D17,"",CONCATENATE("Прок: ",$C$17,"&gt;=",$C$19))," ",IF(Р2[[#This Row],[Прокуратура]]&gt;=(D24+D31),"",CONCATENATE("Прок: ",$C$19,"&gt;=(",$C$24,"+",$C$31,")")))</f>
        <v xml:space="preserve"> </v>
      </c>
      <c r="J19" s="80" t="str">
        <f>CONCATENATE(IF(Р2[[#This Row],[МВД]]&lt;=E17,"",CONCATENATE(Р2[[#Headers],[МВД]],": ",$C$17,"&gt;=",$C$19))," ",IF(Р2[[#This Row],[МВД]]&gt;=(E24+E31),"",CONCATENATE(Р2[[#Headers],[МВД]],": ",$C$19,"&gt;=(",$C$24,"+",$C$31,")")))</f>
        <v xml:space="preserve"> </v>
      </c>
      <c r="K19" s="80" t="str">
        <f>CONCATENATE(IF(Р2[[#This Row],[ГКНБ]]&lt;=F17,"",CONCATENATE(Р2[[#Headers],[ГКНБ]],": ",$C$17,"&gt;=",$C$19))," ",IF(Р2[[#This Row],[ГКНБ]]&gt;=(F24+F31),"",CONCATENATE(Р2[[#Headers],[ГКНБ]],": ",$C$19,"&gt;=(",$C$24,"+",$C$31,")")))</f>
        <v xml:space="preserve"> </v>
      </c>
      <c r="L19" s="80" t="str">
        <f>CONCATENATE(IF(Р2[[#This Row],[ГСИН]]&lt;=G17,"",CONCATENATE(Р2[[#Headers],[ГСИН]],": ",$C$17,"&gt;=",$C$19))," ",IF(Р2[[#This Row],[ГСИН]]&gt;=(G24+G31),"",CONCATENATE(Р2[[#Headers],[ГСИН]],": ",$C$19,"&gt;=(",$C$24,"+",$C$31,")")))</f>
        <v xml:space="preserve"> </v>
      </c>
      <c r="M19" s="71"/>
    </row>
    <row r="20" spans="1:13" ht="20.100000000000001" customHeight="1" x14ac:dyDescent="0.25">
      <c r="A20" s="73" t="s">
        <v>512</v>
      </c>
      <c r="B20" s="75" t="s">
        <v>122</v>
      </c>
      <c r="C20" s="45">
        <v>17</v>
      </c>
      <c r="D20" s="140"/>
      <c r="E20" s="167">
        <v>2604</v>
      </c>
      <c r="F20" s="140"/>
      <c r="G20" s="140"/>
      <c r="H20" s="120" t="str">
        <f>CONCATENATE(Р2[[#This Row],[Пр. ПРОК]]," ",Р2[[#This Row],[Пр. МВД]]," ",Р2[[#This Row],[Пр. ГКНБ]]," ",Р2[[#This Row],[Пр. ГСИН]])</f>
        <v xml:space="preserve">   </v>
      </c>
      <c r="I20" s="84"/>
      <c r="J20" s="84"/>
      <c r="K20" s="84"/>
      <c r="L20" s="84"/>
      <c r="M20" s="71"/>
    </row>
    <row r="21" spans="1:13" ht="30" customHeight="1" x14ac:dyDescent="0.25">
      <c r="A21" s="73" t="s">
        <v>512</v>
      </c>
      <c r="B21" s="85" t="s">
        <v>121</v>
      </c>
      <c r="C21" s="45">
        <v>18</v>
      </c>
      <c r="D21" s="140"/>
      <c r="E21" s="164">
        <v>692</v>
      </c>
      <c r="F21" s="140"/>
      <c r="G21" s="140"/>
      <c r="H21" s="119" t="str">
        <f>CONCATENATE(Р2[[#This Row],[Пр. ПРОК]]," ",Р2[[#This Row],[Пр. МВД]]," ",Р2[[#This Row],[Пр. ГКНБ]]," ",Р2[[#This Row],[Пр. ГСИН]])</f>
        <v xml:space="preserve">   </v>
      </c>
      <c r="I21" s="77" t="str">
        <f>IF(Р2[[#This Row],[Прокуратура]]&gt;=D22,"",CONCATENATE("Прок: ",$C$21,"&gt;=",$C$22))</f>
        <v/>
      </c>
      <c r="J21" s="77" t="str">
        <f>IF(Р2[[#This Row],[МВД]]&gt;=E22,"",CONCATENATE(Р2[[#Headers],[МВД]],": ",$C$21,"&gt;=",$C$22))</f>
        <v/>
      </c>
      <c r="K21" s="77" t="str">
        <f>IF(Р2[[#This Row],[ГКНБ]]&gt;=F22,"",CONCATENATE(Р2[[#Headers],[ГКНБ]],": ",$C$21,"&gt;=",$C$22))</f>
        <v/>
      </c>
      <c r="L21" s="77" t="str">
        <f>IF(Р2[[#This Row],[ГСИН]]&gt;=G22,"",CONCATENATE(Р2[[#Headers],[ГСИН]],": ",$C$21,"&gt;=",$C$22))</f>
        <v/>
      </c>
      <c r="M21" s="71"/>
    </row>
    <row r="22" spans="1:13" ht="20.100000000000001" customHeight="1" x14ac:dyDescent="0.25">
      <c r="A22" s="73" t="s">
        <v>512</v>
      </c>
      <c r="B22" s="76" t="s">
        <v>120</v>
      </c>
      <c r="C22" s="45">
        <v>19</v>
      </c>
      <c r="D22" s="140"/>
      <c r="E22" s="164">
        <v>689</v>
      </c>
      <c r="F22" s="140"/>
      <c r="G22" s="140"/>
      <c r="H22" s="119" t="str">
        <f>CONCATENATE(Р2[[#This Row],[Пр. ПРОК]]," ",Р2[[#This Row],[Пр. МВД]]," ",Р2[[#This Row],[Пр. ГКНБ]]," ",Р2[[#This Row],[Пр. ГСИН]])</f>
        <v xml:space="preserve">   </v>
      </c>
      <c r="I22" s="77" t="str">
        <f>IF(Р2[[#This Row],[Прокуратура]]&gt;=(D23+D24),"",CONCATENATE("Прок: ",$C$22,"&gt;=(",$C$23,"+",$C$24,")"))</f>
        <v/>
      </c>
      <c r="J22" s="80" t="str">
        <f>IF(Р2[[#This Row],[МВД]]&gt;=(E23+E24),"",CONCATENATE(Р2[[#Headers],[МВД]],": ",$C$22,"&gt;=(",$C$23,"+",$C$24,")"))</f>
        <v/>
      </c>
      <c r="K22" s="80" t="str">
        <f>IF(Р2[[#This Row],[ГКНБ]]&gt;=(F23+F24),"",CONCATENATE(Р2[[#Headers],[ГКНБ]],": ",$C$22,"&gt;=(",$C$23,"+",$C$24,")"))</f>
        <v/>
      </c>
      <c r="L22" s="80" t="str">
        <f>IF(Р2[[#This Row],[ГСИН]]&gt;=(G23+G24),"",CONCATENATE(Р2[[#Headers],[ГСИН]],": ",$C$22,"&gt;=(",$C$23,"+",$C$24,")"))</f>
        <v/>
      </c>
      <c r="M22" s="71"/>
    </row>
    <row r="23" spans="1:13" ht="20.100000000000001" customHeight="1" x14ac:dyDescent="0.25">
      <c r="A23" s="73" t="s">
        <v>512</v>
      </c>
      <c r="B23" s="79" t="s">
        <v>119</v>
      </c>
      <c r="C23" s="45">
        <v>20</v>
      </c>
      <c r="D23" s="140"/>
      <c r="E23" s="164">
        <v>100</v>
      </c>
      <c r="F23" s="140"/>
      <c r="G23" s="140"/>
      <c r="H23" s="120" t="str">
        <f>CONCATENATE(Р2[[#This Row],[Пр. ПРОК]]," ",Р2[[#This Row],[Пр. МВД]]," ",Р2[[#This Row],[Пр. ГКНБ]]," ",Р2[[#This Row],[Пр. ГСИН]])</f>
        <v xml:space="preserve">   </v>
      </c>
      <c r="I23" s="83"/>
      <c r="J23" s="83"/>
      <c r="K23" s="83"/>
      <c r="L23" s="83"/>
      <c r="M23" s="71"/>
    </row>
    <row r="24" spans="1:13" ht="20.100000000000001" customHeight="1" x14ac:dyDescent="0.25">
      <c r="A24" s="73" t="s">
        <v>512</v>
      </c>
      <c r="B24" s="79" t="s">
        <v>828</v>
      </c>
      <c r="C24" s="45">
        <v>21</v>
      </c>
      <c r="D24" s="140"/>
      <c r="E24" s="164">
        <v>19</v>
      </c>
      <c r="F24" s="140"/>
      <c r="G24" s="140"/>
      <c r="H24" s="120" t="str">
        <f>CONCATENATE(Р2[[#This Row],[Пр. ПРОК]]," ",Р2[[#This Row],[Пр. МВД]]," ",Р2[[#This Row],[Пр. ГКНБ]]," ",Р2[[#This Row],[Пр. ГСИН]])</f>
        <v xml:space="preserve">   </v>
      </c>
      <c r="I24" s="83"/>
      <c r="J24" s="83"/>
      <c r="K24" s="83"/>
      <c r="L24" s="83"/>
      <c r="M24" s="71"/>
    </row>
    <row r="25" spans="1:13" ht="20.100000000000001" customHeight="1" x14ac:dyDescent="0.25">
      <c r="A25" s="73" t="s">
        <v>512</v>
      </c>
      <c r="B25" s="76" t="s">
        <v>848</v>
      </c>
      <c r="C25" s="45">
        <v>22</v>
      </c>
      <c r="D25" s="140"/>
      <c r="E25" s="164">
        <v>1</v>
      </c>
      <c r="F25" s="140"/>
      <c r="G25" s="140"/>
      <c r="H25" s="122" t="str">
        <f>CONCATENATE(Р2[[#This Row],[Пр. ПРОК]]," ",Р2[[#This Row],[Пр. МВД]]," ",Р2[[#This Row],[Пр. ГКНБ]]," ",Р2[[#This Row],[Пр. ГСИН]])</f>
        <v xml:space="preserve">       </v>
      </c>
      <c r="I25" s="80" t="str">
        <f>CONCATENATE(IF(Р2[[#This Row],[Прокуратура]]=(D26+D27),"",CONCATENATE("Прок: ",$C$25,"=(",$C$26,"+",$C$27,")"))," ",IF(Р2[[#This Row],[Прокуратура]]=('Отчет 1-Е Р.1'!E357+'Отчет 1-Е Р.1'!G357),"",CONCATENATE("Прок: ",$C$25,"=(Р1:",'Отчет 1-Е Р.1'!$C$357,"(в суд)+Р1:",'Отчет 1-Е Р.1'!$C$357,"(прекращ.))")))</f>
        <v xml:space="preserve"> </v>
      </c>
      <c r="J25" s="80" t="str">
        <f>CONCATENATE(IF(Р2[[#This Row],[МВД]]=(E26+E27),"",CONCATENATE(Р2[[#Headers],[МВД]],": ",$C$25,"=(",$C$26,"+",$C$27,")"))," ",IF(Р2[[#This Row],[МВД]]=('Отчет 1-Е Р.1'!I357+'Отчет 1-Е Р.1'!K357),"",CONCATENATE(Р2[[#Headers],[МВД]],": ",$C$25,"=(Р1:",'Отчет 1-Е Р.1'!$C$357,"(в суд)+Р1:",'Отчет 1-Е Р.1'!$C$357,"(прекращ.))")))</f>
        <v xml:space="preserve"> </v>
      </c>
      <c r="K25" s="80" t="str">
        <f>CONCATENATE(IF(Р2[[#This Row],[ГКНБ]]=(F26+F27),"",CONCATENATE(Р2[[#Headers],[ГКНБ]],": ",$C$25,"=(",$C$26,"+",$C$27,")"))," ",IF(Р2[[#This Row],[ГКНБ]]=('Отчет 1-Е Р.1'!M357+'Отчет 1-Е Р.1'!O357),"",CONCATENATE(Р2[[#Headers],[ГКНБ]],": ",$C$25,"=(Р1:",'Отчет 1-Е Р.1'!$C$357,"(в суд)+Р1:",'Отчет 1-Е Р.1'!$C$357,"(прекращ.))")))</f>
        <v xml:space="preserve"> </v>
      </c>
      <c r="L25" s="80" t="str">
        <f>CONCATENATE(IF(Р2[[#This Row],[ГСИН]]=(G26+G27),"",CONCATENATE(Р2[[#Headers],[ГСИН]],": ",$C$25,"=(",$C$26,"+",$C$27,")"))," ",IF(Р2[[#This Row],[ГСИН]]=('Отчет 1-Е Р.1'!Q357+'Отчет 1-Е Р.1'!S357),"",CONCATENATE(Р2[[#Headers],[ГСИН]],": ",$C$25,"=(Р1:",'Отчет 1-Е Р.1'!$C$357,"(в суд)+Р1:",'Отчет 1-Е Р.1'!$C$357,"(прекращ.))")))</f>
        <v xml:space="preserve"> </v>
      </c>
      <c r="M25" s="71"/>
    </row>
    <row r="26" spans="1:13" ht="20.100000000000001" customHeight="1" x14ac:dyDescent="0.25">
      <c r="A26" s="73" t="s">
        <v>512</v>
      </c>
      <c r="B26" s="78" t="s">
        <v>118</v>
      </c>
      <c r="C26" s="45">
        <v>23</v>
      </c>
      <c r="D26" s="140"/>
      <c r="E26" s="164">
        <v>1</v>
      </c>
      <c r="F26" s="140"/>
      <c r="G26" s="140"/>
      <c r="H26" s="127" t="str">
        <f>CONCATENATE(Р2[[#This Row],[Пр. ПРОК]]," ",Р2[[#This Row],[Пр. МВД]]," ",Р2[[#This Row],[Пр. ГКНБ]]," ",Р2[[#This Row],[Пр. ГСИН]])</f>
        <v xml:space="preserve">   </v>
      </c>
      <c r="I26" s="70"/>
      <c r="J26" s="70"/>
      <c r="K26" s="70"/>
      <c r="L26" s="70"/>
      <c r="M26" s="71"/>
    </row>
    <row r="27" spans="1:13" ht="20.100000000000001" customHeight="1" x14ac:dyDescent="0.25">
      <c r="A27" s="73" t="s">
        <v>512</v>
      </c>
      <c r="B27" s="78" t="s">
        <v>117</v>
      </c>
      <c r="C27" s="45">
        <v>24</v>
      </c>
      <c r="D27" s="140"/>
      <c r="E27" s="164"/>
      <c r="F27" s="140"/>
      <c r="G27" s="140"/>
      <c r="H27" s="118" t="str">
        <f>CONCATENATE(Р2[[#This Row],[Пр. ПРОК]]," ",Р2[[#This Row],[Пр. МВД]]," ",Р2[[#This Row],[Пр. ГКНБ]]," ",Р2[[#This Row],[Пр. ГСИН]])</f>
        <v xml:space="preserve">   </v>
      </c>
      <c r="I27" s="70"/>
      <c r="J27" s="70"/>
      <c r="K27" s="70"/>
      <c r="L27" s="70"/>
      <c r="M27" s="71"/>
    </row>
    <row r="28" spans="1:13" ht="20.100000000000001" customHeight="1" x14ac:dyDescent="0.25">
      <c r="A28" s="73" t="s">
        <v>512</v>
      </c>
      <c r="B28" s="85" t="s">
        <v>116</v>
      </c>
      <c r="C28" s="45">
        <v>25</v>
      </c>
      <c r="D28" s="140"/>
      <c r="E28" s="164">
        <v>3231</v>
      </c>
      <c r="F28" s="140"/>
      <c r="G28" s="140"/>
      <c r="H28" s="119" t="str">
        <f>CONCATENATE(Р2[[#This Row],[Пр. ПРОК]]," ",Р2[[#This Row],[Пр. МВД]]," ",Р2[[#This Row],[Пр. ГКНБ]]," ",Р2[[#This Row],[Пр. ГСИН]])</f>
        <v xml:space="preserve">       </v>
      </c>
      <c r="I28" s="80" t="str">
        <f>CONCATENATE(IF((Р2[[#This Row],[Прокуратура]]-D124)=('Отчет 1-Е Р.1'!G354+Р.2!D29),"",CONCATENATE("Прок: ",": (",$C$28,"-",$C124,")=(Р1:",'Отчет 1-Е Р.1'!$C$354,"(Прекращ.)+",Р.2!$C$29,")"))," ",IF(Р2[[#This Row],[Прокуратура]]&gt;=(D31+D30),"",CONCATENATE("Прок: ",$C$28,"&gt;=(",$C$30,"+",$C$31,")")))</f>
        <v xml:space="preserve"> </v>
      </c>
      <c r="J28" s="80" t="str">
        <f>CONCATENATE(IF((Р2[[#This Row],[МВД]]-E124)=('Отчет 1-Е Р.1'!K354+Р.2!E29),"",CONCATENATE(Р2[[#Headers],[МВД]],": (",$C$28,"-",$C124,")=(Р1:",'Отчет 1-Е Р.1'!$C$354,"(Прекращ.)+",Р.2!$C$29,")"))," ",IF(Р2[[#This Row],[МВД]]&gt;=(E31+E30),"",CONCATENATE(Р2[[#Headers],[МВД]],": ",$C$28,"&gt;=(",$C$30,"+",$C$31,")")))</f>
        <v xml:space="preserve"> </v>
      </c>
      <c r="K28" s="80" t="str">
        <f>CONCATENATE(IF((Р2[[#This Row],[ГКНБ]]-F124)=('Отчет 1-Е Р.1'!O354+Р.2!F29),"",CONCATENATE(Р2[[#Headers],[ГКНБ]],": (",$C$28,"-",$C124,")=(Р1:",'Отчет 1-Е Р.1'!$C$354,"(Прекращ.)+",Р.2!$C$29,")"))," ",IF(Р2[[#This Row],[ГКНБ]]&gt;=(F31+F30),"",CONCATENATE(Р2[[#Headers],[ГКНБ]],": ",$C$28,"&gt;=(",$C$30,"+",$C$31,")")))</f>
        <v xml:space="preserve"> </v>
      </c>
      <c r="L28" s="80" t="str">
        <f>CONCATENATE(IF((Р2[[#This Row],[ГСИН]]-G124)=('Отчет 1-Е Р.1'!S354+Р.2!G29),"",CONCATENATE(Р2[[#Headers],[ГСИН]],": (",$C$28,"-",$C124,")=(Р1:",'Отчет 1-Е Р.1'!$C$354,"(Прекращ.)+",Р.2!$C$29,")"))," ",IF(Р2[[#This Row],[ГСИН]]&gt;=(G31+G30),"",CONCATENATE(Р2[[#Headers],[ГСИН]],": ",$C$28,"&gt;=(",$C$30,"+",$C$31,")")))</f>
        <v xml:space="preserve"> </v>
      </c>
      <c r="M28" s="71"/>
    </row>
    <row r="29" spans="1:13" ht="20.100000000000001" customHeight="1" x14ac:dyDescent="0.25">
      <c r="A29" s="73" t="s">
        <v>512</v>
      </c>
      <c r="B29" s="76" t="s">
        <v>863</v>
      </c>
      <c r="C29" s="45">
        <v>26</v>
      </c>
      <c r="D29" s="140"/>
      <c r="E29" s="164">
        <v>85</v>
      </c>
      <c r="F29" s="140"/>
      <c r="G29" s="140"/>
      <c r="H29" s="119" t="str">
        <f>CONCATENATE(Р2[[#This Row],[Пр. ПРОК]]," ",Р2[[#This Row],[Пр. МВД]]," ",Р2[[#This Row],[Пр. ГКНБ]]," ",Р2[[#This Row],[Пр. ГСИН]])</f>
        <v xml:space="preserve">   </v>
      </c>
      <c r="I29" s="77" t="str">
        <f>IF(Р2[[#This Row],[Прокуратура]]&lt;=D28,"",CONCATENATE("Прок: ",$C$28,"&gt;=",$C$29))</f>
        <v/>
      </c>
      <c r="J29" s="77" t="str">
        <f>IF(Р2[[#This Row],[МВД]]&lt;=E28,"",CONCATENATE(Р2[[#Headers],[МВД]],": ",$C$28,"&gt;=",$C$29))</f>
        <v/>
      </c>
      <c r="K29" s="77" t="str">
        <f>IF(Р2[[#This Row],[ГКНБ]]&lt;=F28,"",CONCATENATE(Р2[[#Headers],[ГКНБ]],": ",$C$28,"&gt;=",$C$29))</f>
        <v/>
      </c>
      <c r="L29" s="77" t="str">
        <f>IF(Р2[[#This Row],[ГСИН]]&lt;=G28,"",CONCATENATE(Р2[[#Headers],[ГСИН]],": ",$C$28,"&gt;=",$C$29))</f>
        <v/>
      </c>
      <c r="M29" s="71"/>
    </row>
    <row r="30" spans="1:13" ht="20.100000000000001" customHeight="1" x14ac:dyDescent="0.25">
      <c r="A30" s="73" t="s">
        <v>512</v>
      </c>
      <c r="B30" s="78" t="s">
        <v>70</v>
      </c>
      <c r="C30" s="45">
        <v>27</v>
      </c>
      <c r="D30" s="140"/>
      <c r="E30" s="167">
        <v>86</v>
      </c>
      <c r="F30" s="140"/>
      <c r="G30" s="140"/>
      <c r="H30" s="124" t="str">
        <f>CONCATENATE(Р2[[#This Row],[Пр. ПРОК]]," ",Р2[[#This Row],[Пр. МВД]]," ",Р2[[#This Row],[Пр. ГКНБ]]," ",Р2[[#This Row],[Пр. ГСИН]])</f>
        <v xml:space="preserve">   </v>
      </c>
      <c r="I30" s="86"/>
      <c r="J30" s="86"/>
      <c r="K30" s="86"/>
      <c r="L30" s="86"/>
      <c r="M30" s="71"/>
    </row>
    <row r="31" spans="1:13" ht="20.100000000000001" customHeight="1" x14ac:dyDescent="0.25">
      <c r="A31" s="73" t="s">
        <v>512</v>
      </c>
      <c r="B31" s="78" t="s">
        <v>829</v>
      </c>
      <c r="C31" s="45">
        <v>28</v>
      </c>
      <c r="D31" s="140"/>
      <c r="E31" s="167">
        <v>69</v>
      </c>
      <c r="F31" s="140"/>
      <c r="G31" s="140"/>
      <c r="H31" s="124" t="str">
        <f>CONCATENATE(Р2[[#This Row],[Пр. ПРОК]]," ",Р2[[#This Row],[Пр. МВД]]," ",Р2[[#This Row],[Пр. ГКНБ]]," ",Р2[[#This Row],[Пр. ГСИН]])</f>
        <v xml:space="preserve">   </v>
      </c>
      <c r="I31" s="86"/>
      <c r="J31" s="86"/>
      <c r="K31" s="86"/>
      <c r="L31" s="86"/>
      <c r="M31" s="71"/>
    </row>
    <row r="32" spans="1:13" ht="20.100000000000001" customHeight="1" x14ac:dyDescent="0.25">
      <c r="A32" s="73" t="s">
        <v>512</v>
      </c>
      <c r="B32" s="85" t="s">
        <v>844</v>
      </c>
      <c r="C32" s="45">
        <v>29</v>
      </c>
      <c r="D32" s="140"/>
      <c r="E32" s="169">
        <v>1</v>
      </c>
      <c r="F32" s="140"/>
      <c r="G32" s="140"/>
      <c r="H32" s="119" t="str">
        <f>CONCATENATE(Р2[[#This Row],[Пр. ПРОК]]," ",Р2[[#This Row],[Пр. МВД]]," ",Р2[[#This Row],[Пр. ГКНБ]]," ",Р2[[#This Row],[Пр. ГСИН]])</f>
        <v xml:space="preserve">   </v>
      </c>
      <c r="I32" s="77" t="str">
        <f>IF(Р2[[#This Row],[Прокуратура]]&gt;=(D34+D35),"",CONCATENATE("Прок: ",$C$32,"&gt;=(",$C$34,"+",$C$35,")"))</f>
        <v/>
      </c>
      <c r="J32" s="80" t="str">
        <f>IF(Р2[[#This Row],[МВД]]&gt;=(E34+E35),"",CONCATENATE(Р2[[#Headers],[МВД]],": ",$C$32,"&gt;=(",$C$34,"+",$C$35,")"))</f>
        <v/>
      </c>
      <c r="K32" s="80" t="str">
        <f>IF(Р2[[#This Row],[ГКНБ]]&gt;=(F34+F35),"",CONCATENATE(Р2[[#Headers],[ГКНБ]],": ",$C$32,"&gt;=(",$C$34,"+",$C$35,")"))</f>
        <v/>
      </c>
      <c r="L32" s="80" t="str">
        <f>IF(Р2[[#This Row],[ГСИН]]&gt;=(G34+G35),"",CONCATENATE(Р2[[#Headers],[ГСИН]],": ",$C$32,"&gt;=(",$C$34,"+",$C$35,")"))</f>
        <v/>
      </c>
      <c r="M32" s="71"/>
    </row>
    <row r="33" spans="1:13" s="67" customFormat="1" ht="20.100000000000001" customHeight="1" x14ac:dyDescent="0.25">
      <c r="A33" s="87"/>
      <c r="B33" s="75" t="s">
        <v>861</v>
      </c>
      <c r="C33" s="45">
        <v>30</v>
      </c>
      <c r="D33" s="142"/>
      <c r="E33" s="142"/>
      <c r="F33" s="142"/>
      <c r="G33" s="142"/>
      <c r="H33" s="120" t="str">
        <f>CONCATENATE(Р2[[#This Row],[Пр. ПРОК]]," ",Р2[[#This Row],[Пр. МВД]]," ",Р2[[#This Row],[Пр. ГКНБ]]," ",Р2[[#This Row],[Пр. ГСИН]])</f>
        <v xml:space="preserve">   </v>
      </c>
      <c r="I33" s="83"/>
      <c r="J33" s="84"/>
      <c r="K33" s="84"/>
      <c r="L33" s="84"/>
      <c r="M33" s="88"/>
    </row>
    <row r="34" spans="1:13" ht="20.100000000000001" customHeight="1" x14ac:dyDescent="0.25">
      <c r="A34" s="73" t="s">
        <v>512</v>
      </c>
      <c r="B34" s="78" t="s">
        <v>60</v>
      </c>
      <c r="C34" s="45">
        <v>31</v>
      </c>
      <c r="D34" s="140"/>
      <c r="E34" s="140"/>
      <c r="F34" s="140"/>
      <c r="G34" s="140"/>
      <c r="H34" s="118" t="str">
        <f>CONCATENATE(Р2[[#This Row],[Пр. ПРОК]]," ",Р2[[#This Row],[Пр. МВД]]," ",Р2[[#This Row],[Пр. ГКНБ]]," ",Р2[[#This Row],[Пр. ГСИН]])</f>
        <v xml:space="preserve">   </v>
      </c>
      <c r="I34" s="70"/>
      <c r="J34" s="70"/>
      <c r="K34" s="70"/>
      <c r="L34" s="70"/>
      <c r="M34" s="71"/>
    </row>
    <row r="35" spans="1:13" ht="20.100000000000001" customHeight="1" x14ac:dyDescent="0.25">
      <c r="A35" s="73" t="s">
        <v>512</v>
      </c>
      <c r="B35" s="78" t="s">
        <v>826</v>
      </c>
      <c r="C35" s="45">
        <v>32</v>
      </c>
      <c r="D35" s="140"/>
      <c r="E35" s="140"/>
      <c r="F35" s="140"/>
      <c r="G35" s="140"/>
      <c r="H35" s="118" t="str">
        <f>CONCATENATE(Р2[[#This Row],[Пр. ПРОК]]," ",Р2[[#This Row],[Пр. МВД]]," ",Р2[[#This Row],[Пр. ГКНБ]]," ",Р2[[#This Row],[Пр. ГСИН]])</f>
        <v xml:space="preserve">   </v>
      </c>
      <c r="I35" s="70"/>
      <c r="J35" s="70"/>
      <c r="K35" s="70"/>
      <c r="L35" s="70"/>
      <c r="M35" s="71"/>
    </row>
    <row r="36" spans="1:13" ht="20.100000000000001" customHeight="1" x14ac:dyDescent="0.25">
      <c r="A36" s="73" t="s">
        <v>512</v>
      </c>
      <c r="B36" s="76" t="s">
        <v>115</v>
      </c>
      <c r="C36" s="45">
        <v>33</v>
      </c>
      <c r="D36" s="140"/>
      <c r="E36" s="140"/>
      <c r="F36" s="140"/>
      <c r="G36" s="140"/>
      <c r="H36" s="119" t="str">
        <f>CONCATENATE(Р2[[#This Row],[Пр. ПРОК]]," ",Р2[[#This Row],[Пр. МВД]]," ",Р2[[#This Row],[Пр. ГКНБ]]," ",Р2[[#This Row],[Пр. ГСИН]])</f>
        <v xml:space="preserve">   </v>
      </c>
      <c r="I36" s="77" t="str">
        <f>IF(Р2[[#This Row],[Прокуратура]]&gt;=(D38+D39),"",CONCATENATE("Прок: ",$C$36,"&gt;=(",$C$38,"+",$C$39,")"))</f>
        <v/>
      </c>
      <c r="J36" s="80" t="str">
        <f>IF(Р2[[#This Row],[МВД]]&gt;=(E38+E39),"",CONCATENATE(Р2[[#Headers],[МВД]],": ",$C$36,"&gt;=(",$C$38,"+",$C$39,")"))</f>
        <v/>
      </c>
      <c r="K36" s="80" t="str">
        <f>IF(Р2[[#This Row],[ГКНБ]]&gt;=(F38+F39),"",CONCATENATE(Р2[[#Headers],[ГКНБ]],": ",$C$36,"&gt;=(",$C$38,"+",$C$39,")"))</f>
        <v/>
      </c>
      <c r="L36" s="80" t="str">
        <f>IF(Р2[[#This Row],[ГСИН]]&gt;=(G38+G39),"",CONCATENATE(Р2[[#Headers],[ГСИН]],": ",$C$36,"&gt;=(",$C$38,"+",$C$39,")"))</f>
        <v/>
      </c>
      <c r="M36" s="71"/>
    </row>
    <row r="37" spans="1:13" ht="20.100000000000001" customHeight="1" x14ac:dyDescent="0.25">
      <c r="A37" s="73"/>
      <c r="B37" s="78" t="s">
        <v>908</v>
      </c>
      <c r="C37" s="45">
        <v>34</v>
      </c>
      <c r="D37" s="140"/>
      <c r="E37" s="140"/>
      <c r="F37" s="140"/>
      <c r="G37" s="143"/>
      <c r="H37" s="118" t="str">
        <f>CONCATENATE(Р2[[#This Row],[Пр. ПРОК]]," ",Р2[[#This Row],[Пр. МВД]]," ",Р2[[#This Row],[Пр. ГКНБ]]," ",Р2[[#This Row],[Пр. ГСИН]])</f>
        <v xml:space="preserve">   </v>
      </c>
      <c r="I37" s="70"/>
      <c r="J37" s="70"/>
      <c r="K37" s="70"/>
      <c r="L37" s="70"/>
      <c r="M37" s="71"/>
    </row>
    <row r="38" spans="1:13" ht="20.100000000000001" customHeight="1" x14ac:dyDescent="0.25">
      <c r="A38" s="73" t="s">
        <v>512</v>
      </c>
      <c r="B38" s="78" t="s">
        <v>60</v>
      </c>
      <c r="C38" s="45">
        <v>35</v>
      </c>
      <c r="D38" s="140"/>
      <c r="E38" s="140"/>
      <c r="F38" s="140"/>
      <c r="G38" s="140"/>
      <c r="H38" s="118" t="str">
        <f>CONCATENATE(Р2[[#This Row],[Пр. ПРОК]]," ",Р2[[#This Row],[Пр. МВД]]," ",Р2[[#This Row],[Пр. ГКНБ]]," ",Р2[[#This Row],[Пр. ГСИН]])</f>
        <v xml:space="preserve">   </v>
      </c>
      <c r="I38" s="70"/>
      <c r="J38" s="70"/>
      <c r="K38" s="70"/>
      <c r="L38" s="70"/>
      <c r="M38" s="71"/>
    </row>
    <row r="39" spans="1:13" ht="20.100000000000001" customHeight="1" x14ac:dyDescent="0.25">
      <c r="A39" s="73" t="s">
        <v>512</v>
      </c>
      <c r="B39" s="78" t="s">
        <v>826</v>
      </c>
      <c r="C39" s="45">
        <v>36</v>
      </c>
      <c r="D39" s="140"/>
      <c r="E39" s="140"/>
      <c r="F39" s="140"/>
      <c r="G39" s="140"/>
      <c r="H39" s="118" t="str">
        <f>CONCATENATE(Р2[[#This Row],[Пр. ПРОК]]," ",Р2[[#This Row],[Пр. МВД]]," ",Р2[[#This Row],[Пр. ГКНБ]]," ",Р2[[#This Row],[Пр. ГСИН]])</f>
        <v xml:space="preserve">   </v>
      </c>
      <c r="I39" s="70"/>
      <c r="J39" s="70"/>
      <c r="K39" s="70"/>
      <c r="L39" s="70"/>
      <c r="M39" s="71"/>
    </row>
    <row r="40" spans="1:13" ht="20.100000000000001" customHeight="1" x14ac:dyDescent="0.25">
      <c r="A40" s="73" t="s">
        <v>512</v>
      </c>
      <c r="B40" s="76" t="s">
        <v>114</v>
      </c>
      <c r="C40" s="45">
        <v>37</v>
      </c>
      <c r="D40" s="140"/>
      <c r="E40" s="140"/>
      <c r="F40" s="140"/>
      <c r="G40" s="140"/>
      <c r="H40" s="118" t="str">
        <f>CONCATENATE(Р2[[#This Row],[Пр. ПРОК]]," ",Р2[[#This Row],[Пр. МВД]]," ",Р2[[#This Row],[Пр. ГКНБ]]," ",Р2[[#This Row],[Пр. ГСИН]])</f>
        <v xml:space="preserve">   </v>
      </c>
      <c r="I40" s="70"/>
      <c r="J40" s="70"/>
      <c r="K40" s="70"/>
      <c r="L40" s="70"/>
      <c r="M40" s="71"/>
    </row>
    <row r="41" spans="1:13" ht="20.100000000000001" customHeight="1" x14ac:dyDescent="0.25">
      <c r="A41" s="73" t="s">
        <v>512</v>
      </c>
      <c r="B41" s="78" t="s">
        <v>113</v>
      </c>
      <c r="C41" s="45">
        <v>38</v>
      </c>
      <c r="D41" s="140"/>
      <c r="E41" s="140"/>
      <c r="F41" s="140"/>
      <c r="G41" s="140"/>
      <c r="H41" s="119" t="str">
        <f>CONCATENATE(Р2[[#This Row],[Пр. ПРОК]]," ",Р2[[#This Row],[Пр. МВД]]," ",Р2[[#This Row],[Пр. ГКНБ]]," ",Р2[[#This Row],[Пр. ГСИН]])</f>
        <v xml:space="preserve">   </v>
      </c>
      <c r="I41" s="77" t="str">
        <f>IF(Р2[[#This Row],[Прокуратура]]&gt;=(D42+D44+D45),"",CONCATENATE("Прок: ",$C$41,"&gt;=(",$C$42,"+",$C$44,"+",$C$45,")"))</f>
        <v/>
      </c>
      <c r="J41" s="80" t="str">
        <f>IF(Р2[[#This Row],[МВД]]&gt;=(E42+E44+E45),"",CONCATENATE(Р2[[#Headers],[МВД]],": ",$C$41,"&gt;=(",$C$42,"+",$C$44,"+",$C$45,")"))</f>
        <v/>
      </c>
      <c r="K41" s="80" t="str">
        <f>IF(Р2[[#This Row],[ГКНБ]]&gt;=(F42+F44+F45),"",CONCATENATE(Р2[[#Headers],[ГКНБ]],": ",$C$41,"&gt;=(",$C$42,"+",$C$44,"+",$C$45,")"))</f>
        <v/>
      </c>
      <c r="L41" s="80" t="str">
        <f>IF(Р2[[#This Row],[ГСИН]]&gt;=(G42+G44+G45),"",CONCATENATE(Р2[[#Headers],[ГСИН]],": ",$C$41,"&gt;=(",$C$42,"+",$C$44,"+",$C$45,")"))</f>
        <v/>
      </c>
      <c r="M41" s="71"/>
    </row>
    <row r="42" spans="1:13" ht="20.100000000000001" customHeight="1" x14ac:dyDescent="0.25">
      <c r="A42" s="73" t="s">
        <v>512</v>
      </c>
      <c r="B42" s="76" t="s">
        <v>112</v>
      </c>
      <c r="C42" s="45">
        <v>39</v>
      </c>
      <c r="D42" s="140"/>
      <c r="E42" s="140"/>
      <c r="F42" s="140"/>
      <c r="G42" s="140"/>
      <c r="H42" s="118" t="str">
        <f>CONCATENATE(Р2[[#This Row],[Пр. ПРОК]]," ",Р2[[#This Row],[Пр. МВД]]," ",Р2[[#This Row],[Пр. ГКНБ]]," ",Р2[[#This Row],[Пр. ГСИН]])</f>
        <v xml:space="preserve">   </v>
      </c>
      <c r="I42" s="70"/>
      <c r="J42" s="70"/>
      <c r="K42" s="70"/>
      <c r="L42" s="70"/>
      <c r="M42" s="71"/>
    </row>
    <row r="43" spans="1:13" ht="20.100000000000001" customHeight="1" x14ac:dyDescent="0.25">
      <c r="A43" s="73"/>
      <c r="B43" s="78" t="s">
        <v>908</v>
      </c>
      <c r="C43" s="45">
        <v>40</v>
      </c>
      <c r="D43" s="140"/>
      <c r="E43" s="140"/>
      <c r="F43" s="140"/>
      <c r="G43" s="143"/>
      <c r="H43" s="118" t="str">
        <f>CONCATENATE(Р2[[#This Row],[Пр. ПРОК]]," ",Р2[[#This Row],[Пр. МВД]]," ",Р2[[#This Row],[Пр. ГКНБ]]," ",Р2[[#This Row],[Пр. ГСИН]])</f>
        <v xml:space="preserve">   </v>
      </c>
      <c r="I43" s="70"/>
      <c r="J43" s="70"/>
      <c r="K43" s="70"/>
      <c r="L43" s="70"/>
      <c r="M43" s="71"/>
    </row>
    <row r="44" spans="1:13" ht="20.100000000000001" customHeight="1" x14ac:dyDescent="0.25">
      <c r="A44" s="73" t="s">
        <v>512</v>
      </c>
      <c r="B44" s="78" t="s">
        <v>60</v>
      </c>
      <c r="C44" s="45">
        <v>41</v>
      </c>
      <c r="D44" s="140"/>
      <c r="E44" s="140"/>
      <c r="F44" s="140"/>
      <c r="G44" s="140"/>
      <c r="H44" s="118" t="str">
        <f>CONCATENATE(Р2[[#This Row],[Пр. ПРОК]]," ",Р2[[#This Row],[Пр. МВД]]," ",Р2[[#This Row],[Пр. ГКНБ]]," ",Р2[[#This Row],[Пр. ГСИН]])</f>
        <v xml:space="preserve">   </v>
      </c>
      <c r="I44" s="70"/>
      <c r="J44" s="70"/>
      <c r="K44" s="70"/>
      <c r="L44" s="70"/>
      <c r="M44" s="71"/>
    </row>
    <row r="45" spans="1:13" ht="20.100000000000001" customHeight="1" x14ac:dyDescent="0.25">
      <c r="A45" s="73" t="s">
        <v>512</v>
      </c>
      <c r="B45" s="78" t="s">
        <v>826</v>
      </c>
      <c r="C45" s="45">
        <v>42</v>
      </c>
      <c r="D45" s="140"/>
      <c r="E45" s="140"/>
      <c r="F45" s="140"/>
      <c r="G45" s="140"/>
      <c r="H45" s="118" t="str">
        <f>CONCATENATE(Р2[[#This Row],[Пр. ПРОК]]," ",Р2[[#This Row],[Пр. МВД]]," ",Р2[[#This Row],[Пр. ГКНБ]]," ",Р2[[#This Row],[Пр. ГСИН]])</f>
        <v xml:space="preserve">   </v>
      </c>
      <c r="I45" s="70"/>
      <c r="J45" s="70"/>
      <c r="K45" s="70"/>
      <c r="L45" s="70"/>
      <c r="M45" s="71"/>
    </row>
    <row r="46" spans="1:13" ht="20.100000000000001" customHeight="1" x14ac:dyDescent="0.25">
      <c r="A46" s="73" t="s">
        <v>512</v>
      </c>
      <c r="B46" s="76" t="s">
        <v>111</v>
      </c>
      <c r="C46" s="45">
        <v>43</v>
      </c>
      <c r="D46" s="140"/>
      <c r="E46" s="140"/>
      <c r="F46" s="140"/>
      <c r="G46" s="140"/>
      <c r="H46" s="119" t="str">
        <f>CONCATENATE(Р2[[#This Row],[Пр. ПРОК]]," ",Р2[[#This Row],[Пр. МВД]]," ",Р2[[#This Row],[Пр. ГКНБ]]," ",Р2[[#This Row],[Пр. ГСИН]])</f>
        <v xml:space="preserve">   </v>
      </c>
      <c r="I46" s="77" t="str">
        <f>IF(Р2[[#This Row],[Прокуратура]]&lt;=D114,"",CONCATENATE("Прок: ",$C$46,"&lt;=",$C$114))</f>
        <v/>
      </c>
      <c r="J46" s="77" t="str">
        <f>IF(Р2[[#This Row],[МВД]]&lt;=E114,"",CONCATENATE(Р2[[#Headers],[МВД]],": ",$C$46,"&lt;=",$C$114))</f>
        <v/>
      </c>
      <c r="K46" s="77" t="str">
        <f>IF(Р2[[#This Row],[ГКНБ]]&lt;=F114,"",CONCATENATE(Р2[[#Headers],[ГКНБ]],": ",$C$46,"&lt;=",$C$114))</f>
        <v/>
      </c>
      <c r="L46" s="77" t="str">
        <f>IF(Р2[[#This Row],[ГСИН]]&lt;=G114,"",CONCATENATE(Р2[[#Headers],[ГСИН]],": ",$C$46,"&lt;=",$C$114))</f>
        <v/>
      </c>
      <c r="M46" s="71"/>
    </row>
    <row r="47" spans="1:13" ht="20.100000000000001" customHeight="1" x14ac:dyDescent="0.25">
      <c r="A47" s="73" t="s">
        <v>512</v>
      </c>
      <c r="B47" s="81" t="s">
        <v>110</v>
      </c>
      <c r="C47" s="45">
        <v>44</v>
      </c>
      <c r="D47" s="140"/>
      <c r="E47" s="164">
        <v>18</v>
      </c>
      <c r="F47" s="140"/>
      <c r="G47" s="140"/>
      <c r="H47" s="119" t="str">
        <f>CONCATENATE(Р2[[#This Row],[Пр. ПРОК]]," ",Р2[[#This Row],[Пр. МВД]]," ",Р2[[#This Row],[Пр. ГКНБ]]," ",Р2[[#This Row],[Пр. ГСИН]])</f>
        <v xml:space="preserve">   </v>
      </c>
      <c r="I47" s="80" t="str">
        <f>IF(Р2[[#This Row],[Прокуратура]]&gt;=(D48+D49+D50),"",CONCATENATE("Прок: ",$C$47,"&gt;=(",$C$48,"+",$C$49,"+",$C$50,")"))</f>
        <v/>
      </c>
      <c r="J47" s="80" t="str">
        <f>IF(Р2[[#This Row],[МВД]]&gt;=(E48+E49+E50),"",CONCATENATE(Р2[[#Headers],[МВД]],": ",$C$47,"&gt;=(",$C$48,"+",$C$49,"+",$C$50,")"))</f>
        <v/>
      </c>
      <c r="K47" s="80" t="str">
        <f>IF(Р2[[#This Row],[ГКНБ]]&gt;=(F48+F49+F50),"",CONCATENATE(Р2[[#Headers],[ГКНБ]],": ",$C$47,"&gt;=(",$C$48,"+",$C$49,"+",$C$50,")"))</f>
        <v/>
      </c>
      <c r="L47" s="80" t="str">
        <f>IF(Р2[[#This Row],[ГСИН]]&gt;=(G48+G49+G50),"",CONCATENATE(Р2[[#Headers],[ГСИН]],": ",$C$47,"&gt;=(",$C$48,"+",$C$49,"+",$C$50,")"))</f>
        <v/>
      </c>
      <c r="M47" s="71"/>
    </row>
    <row r="48" spans="1:13" ht="20.100000000000001" customHeight="1" x14ac:dyDescent="0.25">
      <c r="A48" s="73" t="s">
        <v>512</v>
      </c>
      <c r="B48" s="78" t="s">
        <v>101</v>
      </c>
      <c r="C48" s="45">
        <v>45</v>
      </c>
      <c r="D48" s="140"/>
      <c r="E48" s="140"/>
      <c r="F48" s="140"/>
      <c r="G48" s="140"/>
      <c r="H48" s="118" t="str">
        <f>CONCATENATE(Р2[[#This Row],[Пр. ПРОК]]," ",Р2[[#This Row],[Пр. МВД]]," ",Р2[[#This Row],[Пр. ГКНБ]]," ",Р2[[#This Row],[Пр. ГСИН]])</f>
        <v xml:space="preserve">   </v>
      </c>
      <c r="I48" s="70"/>
      <c r="J48" s="70"/>
      <c r="K48" s="70"/>
      <c r="L48" s="70"/>
      <c r="M48" s="71"/>
    </row>
    <row r="49" spans="1:13" ht="20.100000000000001" customHeight="1" x14ac:dyDescent="0.25">
      <c r="A49" s="73" t="s">
        <v>512</v>
      </c>
      <c r="B49" s="78" t="s">
        <v>829</v>
      </c>
      <c r="C49" s="45">
        <v>46</v>
      </c>
      <c r="D49" s="140"/>
      <c r="E49" s="140"/>
      <c r="F49" s="140"/>
      <c r="G49" s="140"/>
      <c r="H49" s="118" t="str">
        <f>CONCATENATE(Р2[[#This Row],[Пр. ПРОК]]," ",Р2[[#This Row],[Пр. МВД]]," ",Р2[[#This Row],[Пр. ГКНБ]]," ",Р2[[#This Row],[Пр. ГСИН]])</f>
        <v xml:space="preserve">   </v>
      </c>
      <c r="I49" s="70"/>
      <c r="J49" s="70"/>
      <c r="K49" s="70"/>
      <c r="L49" s="70"/>
      <c r="M49" s="71"/>
    </row>
    <row r="50" spans="1:13" ht="20.100000000000001" customHeight="1" x14ac:dyDescent="0.25">
      <c r="A50" s="73" t="s">
        <v>512</v>
      </c>
      <c r="B50" s="76" t="s">
        <v>109</v>
      </c>
      <c r="C50" s="45">
        <v>47</v>
      </c>
      <c r="D50" s="140"/>
      <c r="E50" s="140"/>
      <c r="F50" s="140"/>
      <c r="G50" s="140"/>
      <c r="H50" s="118" t="str">
        <f>CONCATENATE(Р2[[#This Row],[Пр. ПРОК]]," ",Р2[[#This Row],[Пр. МВД]]," ",Р2[[#This Row],[Пр. ГКНБ]]," ",Р2[[#This Row],[Пр. ГСИН]])</f>
        <v xml:space="preserve">   </v>
      </c>
      <c r="I50" s="70"/>
      <c r="J50" s="70"/>
      <c r="K50" s="70"/>
      <c r="L50" s="70"/>
      <c r="M50" s="71"/>
    </row>
    <row r="51" spans="1:13" s="27" customFormat="1" ht="20.100000000000001" customHeight="1" x14ac:dyDescent="0.25">
      <c r="A51" s="73" t="s">
        <v>512</v>
      </c>
      <c r="B51" s="81" t="s">
        <v>108</v>
      </c>
      <c r="C51" s="45">
        <v>48</v>
      </c>
      <c r="D51" s="141">
        <f>SUM(D52:D55)</f>
        <v>0</v>
      </c>
      <c r="E51" s="141">
        <f t="shared" ref="E51:G51" si="0">SUM(E52:E55)</f>
        <v>1302</v>
      </c>
      <c r="F51" s="141">
        <f t="shared" si="0"/>
        <v>0</v>
      </c>
      <c r="G51" s="141">
        <f t="shared" si="0"/>
        <v>0</v>
      </c>
      <c r="H51" s="121" t="str">
        <f>CONCATENATE(Р2[[#This Row],[Пр. ПРОК]]," ",Р2[[#This Row],[Пр. МВД]]," ",Р2[[#This Row],[Пр. ГКНБ]]," ",Р2[[#This Row],[Пр. ГСИН]])</f>
        <v xml:space="preserve">   </v>
      </c>
      <c r="I51" s="89"/>
      <c r="J51" s="89"/>
      <c r="K51" s="89"/>
      <c r="L51" s="89"/>
      <c r="M51" s="90"/>
    </row>
    <row r="52" spans="1:13" s="27" customFormat="1" ht="20.100000000000001" customHeight="1" x14ac:dyDescent="0.25">
      <c r="A52" s="73" t="s">
        <v>512</v>
      </c>
      <c r="B52" s="76" t="s">
        <v>107</v>
      </c>
      <c r="C52" s="45">
        <v>49</v>
      </c>
      <c r="D52" s="140"/>
      <c r="E52" s="164">
        <v>1006</v>
      </c>
      <c r="F52" s="140"/>
      <c r="G52" s="140"/>
      <c r="H52" s="121" t="str">
        <f>CONCATENATE(Р2[[#This Row],[Пр. ПРОК]]," ",Р2[[#This Row],[Пр. МВД]]," ",Р2[[#This Row],[Пр. ГКНБ]]," ",Р2[[#This Row],[Пр. ГСИН]])</f>
        <v xml:space="preserve">   </v>
      </c>
      <c r="I52" s="89"/>
      <c r="J52" s="89"/>
      <c r="K52" s="89"/>
      <c r="L52" s="89"/>
      <c r="M52" s="90"/>
    </row>
    <row r="53" spans="1:13" s="27" customFormat="1" ht="20.100000000000001" customHeight="1" x14ac:dyDescent="0.25">
      <c r="A53" s="73" t="s">
        <v>512</v>
      </c>
      <c r="B53" s="76" t="s">
        <v>820</v>
      </c>
      <c r="C53" s="45">
        <v>50</v>
      </c>
      <c r="D53" s="140"/>
      <c r="E53" s="164">
        <v>270</v>
      </c>
      <c r="F53" s="140"/>
      <c r="G53" s="140"/>
      <c r="H53" s="121" t="str">
        <f>CONCATENATE(Р2[[#This Row],[Пр. ПРОК]]," ",Р2[[#This Row],[Пр. МВД]]," ",Р2[[#This Row],[Пр. ГКНБ]]," ",Р2[[#This Row],[Пр. ГСИН]])</f>
        <v xml:space="preserve">   </v>
      </c>
      <c r="I53" s="89"/>
      <c r="J53" s="89"/>
      <c r="K53" s="89"/>
      <c r="L53" s="89"/>
      <c r="M53" s="90"/>
    </row>
    <row r="54" spans="1:13" s="27" customFormat="1" ht="20.100000000000001" customHeight="1" x14ac:dyDescent="0.25">
      <c r="A54" s="73" t="s">
        <v>512</v>
      </c>
      <c r="B54" s="76" t="s">
        <v>106</v>
      </c>
      <c r="C54" s="45">
        <v>51</v>
      </c>
      <c r="D54" s="140"/>
      <c r="E54" s="164">
        <v>21</v>
      </c>
      <c r="F54" s="140"/>
      <c r="G54" s="140"/>
      <c r="H54" s="121" t="str">
        <f>CONCATENATE(Р2[[#This Row],[Пр. ПРОК]]," ",Р2[[#This Row],[Пр. МВД]]," ",Р2[[#This Row],[Пр. ГКНБ]]," ",Р2[[#This Row],[Пр. ГСИН]])</f>
        <v xml:space="preserve">   </v>
      </c>
      <c r="I54" s="89"/>
      <c r="J54" s="89"/>
      <c r="K54" s="89"/>
      <c r="L54" s="89"/>
      <c r="M54" s="90"/>
    </row>
    <row r="55" spans="1:13" s="27" customFormat="1" ht="20.100000000000001" customHeight="1" x14ac:dyDescent="0.25">
      <c r="A55" s="73" t="s">
        <v>512</v>
      </c>
      <c r="B55" s="76" t="s">
        <v>105</v>
      </c>
      <c r="C55" s="45">
        <v>52</v>
      </c>
      <c r="D55" s="140"/>
      <c r="E55" s="164">
        <v>5</v>
      </c>
      <c r="F55" s="140"/>
      <c r="G55" s="140"/>
      <c r="H55" s="121" t="str">
        <f>CONCATENATE(Р2[[#This Row],[Пр. ПРОК]]," ",Р2[[#This Row],[Пр. МВД]]," ",Р2[[#This Row],[Пр. ГКНБ]]," ",Р2[[#This Row],[Пр. ГСИН]])</f>
        <v xml:space="preserve">   </v>
      </c>
      <c r="I55" s="89"/>
      <c r="J55" s="89"/>
      <c r="K55" s="89"/>
      <c r="L55" s="89"/>
      <c r="M55" s="90"/>
    </row>
    <row r="56" spans="1:13" ht="20.100000000000001" customHeight="1" x14ac:dyDescent="0.25">
      <c r="A56" s="73" t="s">
        <v>512</v>
      </c>
      <c r="B56" s="81" t="s">
        <v>862</v>
      </c>
      <c r="C56" s="45">
        <v>53</v>
      </c>
      <c r="D56" s="141">
        <f>D57+D59+D60+D61</f>
        <v>0</v>
      </c>
      <c r="E56" s="141">
        <f t="shared" ref="E56:G56" si="1">E57+E59+E60+E61</f>
        <v>579</v>
      </c>
      <c r="F56" s="141">
        <f t="shared" si="1"/>
        <v>0</v>
      </c>
      <c r="G56" s="141">
        <f t="shared" si="1"/>
        <v>0</v>
      </c>
      <c r="H56" s="118" t="str">
        <f>CONCATENATE(Р2[[#This Row],[Пр. ПРОК]]," ",Р2[[#This Row],[Пр. МВД]]," ",Р2[[#This Row],[Пр. ГКНБ]]," ",Р2[[#This Row],[Пр. ГСИН]])</f>
        <v xml:space="preserve">   </v>
      </c>
      <c r="I56" s="70"/>
      <c r="J56" s="70"/>
      <c r="K56" s="70"/>
      <c r="L56" s="70"/>
      <c r="M56" s="71"/>
    </row>
    <row r="57" spans="1:13" ht="20.100000000000001" customHeight="1" x14ac:dyDescent="0.25">
      <c r="A57" s="73" t="s">
        <v>512</v>
      </c>
      <c r="B57" s="76" t="s">
        <v>837</v>
      </c>
      <c r="C57" s="45">
        <v>54</v>
      </c>
      <c r="D57" s="140"/>
      <c r="E57" s="164">
        <v>108</v>
      </c>
      <c r="F57" s="140"/>
      <c r="G57" s="140"/>
      <c r="H57" s="118" t="str">
        <f>CONCATENATE(Р2[[#This Row],[Пр. ПРОК]]," ",Р2[[#This Row],[Пр. МВД]]," ",Р2[[#This Row],[Пр. ГКНБ]]," ",Р2[[#This Row],[Пр. ГСИН]])</f>
        <v xml:space="preserve">   </v>
      </c>
      <c r="I57" s="70"/>
      <c r="J57" s="70"/>
      <c r="K57" s="70"/>
      <c r="L57" s="70"/>
      <c r="M57" s="71"/>
    </row>
    <row r="58" spans="1:13" ht="20.100000000000001" customHeight="1" x14ac:dyDescent="0.25">
      <c r="A58" s="73" t="s">
        <v>512</v>
      </c>
      <c r="B58" s="78" t="s">
        <v>104</v>
      </c>
      <c r="C58" s="45">
        <v>55</v>
      </c>
      <c r="D58" s="140"/>
      <c r="E58" s="164">
        <v>97</v>
      </c>
      <c r="F58" s="140"/>
      <c r="G58" s="140"/>
      <c r="H58" s="119" t="str">
        <f>CONCATENATE(Р2[[#This Row],[Пр. ПРОК]]," ",Р2[[#This Row],[Пр. МВД]]," ",Р2[[#This Row],[Пр. ГКНБ]]," ",Р2[[#This Row],[Пр. ГСИН]])</f>
        <v xml:space="preserve">   </v>
      </c>
      <c r="I58" s="77" t="str">
        <f>IF(Р2[[#This Row],[Прокуратура]]&lt;=D57,"",CONCATENATE("Прок: ",$C$57,"&gt;=",$C$58))</f>
        <v/>
      </c>
      <c r="J58" s="77" t="str">
        <f>IF(Р2[[#This Row],[МВД]]&lt;=E57,"",CONCATENATE(Р2[[#Headers],[МВД]],": ",$C$57,"&gt;=",$C$58))</f>
        <v/>
      </c>
      <c r="K58" s="77" t="str">
        <f>IF(Р2[[#This Row],[ГКНБ]]&lt;=F57,"",CONCATENATE(Р2[[#Headers],[ГКНБ]],": ",$C$57,"&gt;=",$C$58))</f>
        <v/>
      </c>
      <c r="L58" s="77" t="str">
        <f>IF(Р2[[#This Row],[ГСИН]]&lt;=G57,"",CONCATENATE(Р2[[#Headers],[ГСИН]],": ",$C$57,"&gt;=",$C$58))</f>
        <v/>
      </c>
      <c r="M58" s="71"/>
    </row>
    <row r="59" spans="1:13" ht="20.100000000000001" customHeight="1" x14ac:dyDescent="0.25">
      <c r="A59" s="73" t="s">
        <v>512</v>
      </c>
      <c r="B59" s="76" t="s">
        <v>838</v>
      </c>
      <c r="C59" s="45">
        <v>56</v>
      </c>
      <c r="D59" s="140"/>
      <c r="E59" s="164"/>
      <c r="F59" s="140"/>
      <c r="G59" s="140"/>
      <c r="H59" s="118" t="str">
        <f>CONCATENATE(Р2[[#This Row],[Пр. ПРОК]]," ",Р2[[#This Row],[Пр. МВД]]," ",Р2[[#This Row],[Пр. ГКНБ]]," ",Р2[[#This Row],[Пр. ГСИН]])</f>
        <v xml:space="preserve">   </v>
      </c>
      <c r="I59" s="70"/>
      <c r="J59" s="70"/>
      <c r="K59" s="70"/>
      <c r="L59" s="70"/>
      <c r="M59" s="71"/>
    </row>
    <row r="60" spans="1:13" ht="20.100000000000001" customHeight="1" x14ac:dyDescent="0.25">
      <c r="A60" s="73" t="s">
        <v>512</v>
      </c>
      <c r="B60" s="76" t="s">
        <v>839</v>
      </c>
      <c r="C60" s="45">
        <v>57</v>
      </c>
      <c r="D60" s="140"/>
      <c r="E60" s="164">
        <v>471</v>
      </c>
      <c r="F60" s="140"/>
      <c r="G60" s="140"/>
      <c r="H60" s="118" t="str">
        <f>CONCATENATE(Р2[[#This Row],[Пр. ПРОК]]," ",Р2[[#This Row],[Пр. МВД]]," ",Р2[[#This Row],[Пр. ГКНБ]]," ",Р2[[#This Row],[Пр. ГСИН]])</f>
        <v xml:space="preserve">   </v>
      </c>
      <c r="I60" s="70"/>
      <c r="J60" s="70"/>
      <c r="K60" s="70"/>
      <c r="L60" s="70"/>
      <c r="M60" s="71"/>
    </row>
    <row r="61" spans="1:13" ht="20.100000000000001" customHeight="1" x14ac:dyDescent="0.25">
      <c r="A61" s="73" t="s">
        <v>512</v>
      </c>
      <c r="B61" s="76" t="s">
        <v>840</v>
      </c>
      <c r="C61" s="45">
        <v>58</v>
      </c>
      <c r="D61" s="140"/>
      <c r="E61" s="164"/>
      <c r="F61" s="140"/>
      <c r="G61" s="140"/>
      <c r="H61" s="118" t="str">
        <f>CONCATENATE(Р2[[#This Row],[Пр. ПРОК]]," ",Р2[[#This Row],[Пр. МВД]]," ",Р2[[#This Row],[Пр. ГКНБ]]," ",Р2[[#This Row],[Пр. ГСИН]])</f>
        <v xml:space="preserve">   </v>
      </c>
      <c r="I61" s="70"/>
      <c r="J61" s="70"/>
      <c r="K61" s="70"/>
      <c r="L61" s="70"/>
      <c r="M61" s="71"/>
    </row>
    <row r="62" spans="1:13" ht="20.100000000000001" customHeight="1" x14ac:dyDescent="0.25">
      <c r="A62" s="73" t="s">
        <v>512</v>
      </c>
      <c r="B62" s="81" t="s">
        <v>103</v>
      </c>
      <c r="C62" s="45">
        <v>59</v>
      </c>
      <c r="D62" s="140"/>
      <c r="E62" s="164">
        <v>135</v>
      </c>
      <c r="F62" s="140"/>
      <c r="G62" s="140"/>
      <c r="H62" s="118" t="str">
        <f>CONCATENATE(Р2[[#This Row],[Пр. ПРОК]]," ",Р2[[#This Row],[Пр. МВД]]," ",Р2[[#This Row],[Пр. ГКНБ]]," ",Р2[[#This Row],[Пр. ГСИН]])</f>
        <v xml:space="preserve">   </v>
      </c>
      <c r="I62" s="70"/>
      <c r="J62" s="70"/>
      <c r="K62" s="70"/>
      <c r="L62" s="70"/>
      <c r="M62" s="71"/>
    </row>
    <row r="63" spans="1:13" ht="20.100000000000001" customHeight="1" x14ac:dyDescent="0.25">
      <c r="A63" s="73" t="s">
        <v>512</v>
      </c>
      <c r="B63" s="76" t="s">
        <v>102</v>
      </c>
      <c r="C63" s="45">
        <v>60</v>
      </c>
      <c r="D63" s="140"/>
      <c r="E63" s="164">
        <v>23</v>
      </c>
      <c r="F63" s="140"/>
      <c r="G63" s="140"/>
      <c r="H63" s="119" t="str">
        <f>CONCATENATE(Р2[[#This Row],[Пр. ПРОК]]," ",Р2[[#This Row],[Пр. МВД]]," ",Р2[[#This Row],[Пр. ГКНБ]]," ",Р2[[#This Row],[Пр. ГСИН]])</f>
        <v xml:space="preserve">   </v>
      </c>
      <c r="I63" s="77" t="str">
        <f>IF(Р2[[#This Row],[Прокуратура]]&gt;=(D64+D65),"",CONCATENATE("Прок: ",$C$63,"&gt;=(",$C$64,"+",$C$65,")"))</f>
        <v/>
      </c>
      <c r="J63" s="80" t="str">
        <f>IF(Р2[[#This Row],[МВД]]&gt;=(E64+E65),"",CONCATENATE(Р2[[#Headers],[МВД]],": ",$C$63,"&gt;=(",$C$64,"+",$C$65,")"))</f>
        <v/>
      </c>
      <c r="K63" s="80" t="str">
        <f>IF(Р2[[#This Row],[ГКНБ]]&gt;=(F64+F65),"",CONCATENATE(Р2[[#Headers],[ГКНБ]],": ",$C$63,"&gt;=(",$C$64,"+",$C$65,")"))</f>
        <v/>
      </c>
      <c r="L63" s="80" t="str">
        <f>IF(Р2[[#This Row],[ГСИН]]&gt;=(G64+G65),"",CONCATENATE(Р2[[#Headers],[ГСИН]],": ",$C$63,"&gt;=(",$C$64,"+",$C$65,")"))</f>
        <v/>
      </c>
      <c r="M63" s="71"/>
    </row>
    <row r="64" spans="1:13" ht="20.100000000000001" customHeight="1" x14ac:dyDescent="0.25">
      <c r="A64" s="73" t="s">
        <v>512</v>
      </c>
      <c r="B64" s="78" t="s">
        <v>101</v>
      </c>
      <c r="C64" s="45">
        <v>61</v>
      </c>
      <c r="D64" s="140"/>
      <c r="E64" s="164">
        <v>3</v>
      </c>
      <c r="F64" s="140"/>
      <c r="G64" s="140"/>
      <c r="H64" s="118" t="str">
        <f>CONCATENATE(Р2[[#This Row],[Пр. ПРОК]]," ",Р2[[#This Row],[Пр. МВД]]," ",Р2[[#This Row],[Пр. ГКНБ]]," ",Р2[[#This Row],[Пр. ГСИН]])</f>
        <v xml:space="preserve">   </v>
      </c>
      <c r="I64" s="70"/>
      <c r="J64" s="70"/>
      <c r="K64" s="70"/>
      <c r="L64" s="70"/>
      <c r="M64" s="71"/>
    </row>
    <row r="65" spans="1:13" ht="20.100000000000001" customHeight="1" x14ac:dyDescent="0.25">
      <c r="A65" s="73" t="s">
        <v>512</v>
      </c>
      <c r="B65" s="78" t="s">
        <v>829</v>
      </c>
      <c r="C65" s="45">
        <v>62</v>
      </c>
      <c r="D65" s="140"/>
      <c r="E65" s="164">
        <v>1</v>
      </c>
      <c r="F65" s="140"/>
      <c r="G65" s="140"/>
      <c r="H65" s="118" t="str">
        <f>CONCATENATE(Р2[[#This Row],[Пр. ПРОК]]," ",Р2[[#This Row],[Пр. МВД]]," ",Р2[[#This Row],[Пр. ГКНБ]]," ",Р2[[#This Row],[Пр. ГСИН]])</f>
        <v xml:space="preserve">   </v>
      </c>
      <c r="I65" s="70"/>
      <c r="J65" s="70"/>
      <c r="K65" s="70"/>
      <c r="L65" s="70"/>
      <c r="M65" s="71"/>
    </row>
    <row r="66" spans="1:13" ht="20.100000000000001" customHeight="1" x14ac:dyDescent="0.25">
      <c r="A66" s="73"/>
      <c r="B66" s="78" t="s">
        <v>898</v>
      </c>
      <c r="C66" s="45">
        <v>63</v>
      </c>
      <c r="D66" s="140"/>
      <c r="E66" s="164"/>
      <c r="F66" s="140"/>
      <c r="G66" s="140"/>
      <c r="H66" s="118" t="str">
        <f>CONCATENATE(Р2[[#This Row],[Пр. ПРОК]]," ",Р2[[#This Row],[Пр. МВД]]," ",Р2[[#This Row],[Пр. ГКНБ]]," ",Р2[[#This Row],[Пр. ГСИН]])</f>
        <v xml:space="preserve">   </v>
      </c>
      <c r="I66" s="70"/>
      <c r="J66" s="70"/>
      <c r="K66" s="70"/>
      <c r="L66" s="70"/>
      <c r="M66" s="71"/>
    </row>
    <row r="67" spans="1:13" ht="20.100000000000001" customHeight="1" x14ac:dyDescent="0.25">
      <c r="A67" s="73" t="s">
        <v>512</v>
      </c>
      <c r="B67" s="81" t="s">
        <v>100</v>
      </c>
      <c r="C67" s="45">
        <v>64</v>
      </c>
      <c r="D67" s="141">
        <f>SUM(D68:D72)</f>
        <v>0</v>
      </c>
      <c r="E67" s="141">
        <f t="shared" ref="E67:G67" si="2">SUM(E68:E72)</f>
        <v>10</v>
      </c>
      <c r="F67" s="141">
        <f t="shared" si="2"/>
        <v>0</v>
      </c>
      <c r="G67" s="141">
        <f t="shared" si="2"/>
        <v>0</v>
      </c>
      <c r="H67" s="118" t="str">
        <f>CONCATENATE(Р2[[#This Row],[Пр. ПРОК]]," ",Р2[[#This Row],[Пр. МВД]]," ",Р2[[#This Row],[Пр. ГКНБ]]," ",Р2[[#This Row],[Пр. ГСИН]])</f>
        <v xml:space="preserve">   </v>
      </c>
      <c r="I67" s="70"/>
      <c r="J67" s="70"/>
      <c r="K67" s="70"/>
      <c r="L67" s="70"/>
      <c r="M67" s="71"/>
    </row>
    <row r="68" spans="1:13" ht="20.100000000000001" customHeight="1" x14ac:dyDescent="0.25">
      <c r="A68" s="73" t="s">
        <v>512</v>
      </c>
      <c r="B68" s="76" t="s">
        <v>99</v>
      </c>
      <c r="C68" s="45">
        <v>65</v>
      </c>
      <c r="D68" s="140"/>
      <c r="E68" s="164">
        <v>10</v>
      </c>
      <c r="F68" s="140"/>
      <c r="G68" s="140"/>
      <c r="H68" s="118" t="str">
        <f>CONCATENATE(Р2[[#This Row],[Пр. ПРОК]]," ",Р2[[#This Row],[Пр. МВД]]," ",Р2[[#This Row],[Пр. ГКНБ]]," ",Р2[[#This Row],[Пр. ГСИН]])</f>
        <v xml:space="preserve">   </v>
      </c>
      <c r="I68" s="70"/>
      <c r="J68" s="70"/>
      <c r="K68" s="70"/>
      <c r="L68" s="70"/>
      <c r="M68" s="71"/>
    </row>
    <row r="69" spans="1:13" ht="20.100000000000001" customHeight="1" x14ac:dyDescent="0.25">
      <c r="A69" s="73" t="s">
        <v>512</v>
      </c>
      <c r="B69" s="76" t="s">
        <v>98</v>
      </c>
      <c r="C69" s="45">
        <v>66</v>
      </c>
      <c r="D69" s="140"/>
      <c r="E69" s="164"/>
      <c r="F69" s="140"/>
      <c r="G69" s="140"/>
      <c r="H69" s="118" t="str">
        <f>CONCATENATE(Р2[[#This Row],[Пр. ПРОК]]," ",Р2[[#This Row],[Пр. МВД]]," ",Р2[[#This Row],[Пр. ГКНБ]]," ",Р2[[#This Row],[Пр. ГСИН]])</f>
        <v xml:space="preserve">   </v>
      </c>
      <c r="I69" s="70"/>
      <c r="J69" s="70"/>
      <c r="K69" s="70"/>
      <c r="L69" s="70"/>
      <c r="M69" s="71"/>
    </row>
    <row r="70" spans="1:13" ht="20.100000000000001" customHeight="1" x14ac:dyDescent="0.25">
      <c r="A70" s="73" t="s">
        <v>512</v>
      </c>
      <c r="B70" s="76" t="s">
        <v>97</v>
      </c>
      <c r="C70" s="45">
        <v>67</v>
      </c>
      <c r="D70" s="140"/>
      <c r="E70" s="164"/>
      <c r="F70" s="140"/>
      <c r="G70" s="140"/>
      <c r="H70" s="118" t="str">
        <f>CONCATENATE(Р2[[#This Row],[Пр. ПРОК]]," ",Р2[[#This Row],[Пр. МВД]]," ",Р2[[#This Row],[Пр. ГКНБ]]," ",Р2[[#This Row],[Пр. ГСИН]])</f>
        <v xml:space="preserve">   </v>
      </c>
      <c r="I70" s="70"/>
      <c r="J70" s="70"/>
      <c r="K70" s="70"/>
      <c r="L70" s="70"/>
      <c r="M70" s="71"/>
    </row>
    <row r="71" spans="1:13" ht="20.100000000000001" customHeight="1" x14ac:dyDescent="0.25">
      <c r="A71" s="73" t="s">
        <v>512</v>
      </c>
      <c r="B71" s="76" t="s">
        <v>96</v>
      </c>
      <c r="C71" s="45">
        <v>68</v>
      </c>
      <c r="D71" s="140"/>
      <c r="E71" s="164"/>
      <c r="F71" s="140"/>
      <c r="G71" s="140"/>
      <c r="H71" s="118" t="str">
        <f>CONCATENATE(Р2[[#This Row],[Пр. ПРОК]]," ",Р2[[#This Row],[Пр. МВД]]," ",Р2[[#This Row],[Пр. ГКНБ]]," ",Р2[[#This Row],[Пр. ГСИН]])</f>
        <v xml:space="preserve">   </v>
      </c>
      <c r="I71" s="70"/>
      <c r="J71" s="70"/>
      <c r="K71" s="70"/>
      <c r="L71" s="70"/>
      <c r="M71" s="71"/>
    </row>
    <row r="72" spans="1:13" ht="20.100000000000001" customHeight="1" x14ac:dyDescent="0.25">
      <c r="A72" s="73" t="s">
        <v>512</v>
      </c>
      <c r="B72" s="76" t="s">
        <v>95</v>
      </c>
      <c r="C72" s="45">
        <v>69</v>
      </c>
      <c r="D72" s="140"/>
      <c r="E72" s="164"/>
      <c r="F72" s="140"/>
      <c r="G72" s="140"/>
      <c r="H72" s="118" t="str">
        <f>CONCATENATE(Р2[[#This Row],[Пр. ПРОК]]," ",Р2[[#This Row],[Пр. МВД]]," ",Р2[[#This Row],[Пр. ГКНБ]]," ",Р2[[#This Row],[Пр. ГСИН]])</f>
        <v xml:space="preserve">   </v>
      </c>
      <c r="I72" s="70"/>
      <c r="J72" s="70"/>
      <c r="K72" s="70"/>
      <c r="L72" s="70"/>
      <c r="M72" s="71"/>
    </row>
    <row r="73" spans="1:13" ht="20.100000000000001" customHeight="1" x14ac:dyDescent="0.25">
      <c r="A73" s="73" t="s">
        <v>512</v>
      </c>
      <c r="B73" s="85" t="s">
        <v>94</v>
      </c>
      <c r="C73" s="45">
        <v>70</v>
      </c>
      <c r="D73" s="140"/>
      <c r="E73" s="164">
        <v>62</v>
      </c>
      <c r="F73" s="140"/>
      <c r="G73" s="140"/>
      <c r="H73" s="119" t="str">
        <f>CONCATENATE(Р2[[#This Row],[Пр. ПРОК]]," ",Р2[[#This Row],[Пр. МВД]]," ",Р2[[#This Row],[Пр. ГКНБ]]," ",Р2[[#This Row],[Пр. ГСИН]])</f>
        <v xml:space="preserve">   </v>
      </c>
      <c r="I73" s="77" t="str">
        <f>IF(Р2[[#This Row],[Прокуратура]]&gt;=D74,"",CONCATENATE("Прок: ",$C$73,"&gt;=",$C$74))</f>
        <v/>
      </c>
      <c r="J73" s="77" t="str">
        <f>IF(Р2[[#This Row],[МВД]]&gt;=E74,"",CONCATENATE(Р2[[#Headers],[МВД]],": ",$C$73,"&gt;=",$C$74))</f>
        <v/>
      </c>
      <c r="K73" s="77" t="str">
        <f>IF(Р2[[#This Row],[ГКНБ]]&gt;=F74,"",CONCATENATE(Р2[[#Headers],[ГКНБ]],": ",$C$73,"&gt;=",$C$74))</f>
        <v/>
      </c>
      <c r="L73" s="77" t="str">
        <f>IF(Р2[[#This Row],[ГСИН]]&gt;=G74,"",CONCATENATE(Р2[[#Headers],[ГСИН]],": ",$C$73,"&gt;=",$C$74))</f>
        <v/>
      </c>
      <c r="M73" s="71"/>
    </row>
    <row r="74" spans="1:13" ht="20.100000000000001" customHeight="1" x14ac:dyDescent="0.25">
      <c r="A74" s="73" t="s">
        <v>512</v>
      </c>
      <c r="B74" s="76" t="s">
        <v>93</v>
      </c>
      <c r="C74" s="45">
        <v>71</v>
      </c>
      <c r="D74" s="140"/>
      <c r="E74" s="164">
        <v>50</v>
      </c>
      <c r="F74" s="140"/>
      <c r="G74" s="140"/>
      <c r="H74" s="118" t="str">
        <f>CONCATENATE(Р2[[#This Row],[Пр. ПРОК]]," ",Р2[[#This Row],[Пр. МВД]]," ",Р2[[#This Row],[Пр. ГКНБ]]," ",Р2[[#This Row],[Пр. ГСИН]])</f>
        <v xml:space="preserve">   </v>
      </c>
      <c r="I74" s="70"/>
      <c r="J74" s="70"/>
      <c r="K74" s="70"/>
      <c r="L74" s="70"/>
      <c r="M74" s="71"/>
    </row>
    <row r="75" spans="1:13" ht="20.100000000000001" customHeight="1" x14ac:dyDescent="0.25">
      <c r="A75" s="91" t="s">
        <v>513</v>
      </c>
      <c r="B75" s="146" t="s">
        <v>504</v>
      </c>
      <c r="C75" s="45">
        <v>72</v>
      </c>
      <c r="D75" s="145"/>
      <c r="E75" s="145"/>
      <c r="F75" s="145"/>
      <c r="G75" s="145"/>
      <c r="H75" s="118" t="str">
        <f>CONCATENATE(Р2[[#This Row],[Пр. ПРОК]]," ",Р2[[#This Row],[Пр. МВД]]," ",Р2[[#This Row],[Пр. ГКНБ]]," ",Р2[[#This Row],[Пр. ГСИН]])</f>
        <v xml:space="preserve">   </v>
      </c>
      <c r="I75" s="70"/>
      <c r="J75" s="70"/>
      <c r="K75" s="70"/>
      <c r="L75" s="70"/>
      <c r="M75" s="71"/>
    </row>
    <row r="76" spans="1:13" ht="20.100000000000001" customHeight="1" x14ac:dyDescent="0.25">
      <c r="A76" s="92" t="s">
        <v>513</v>
      </c>
      <c r="B76" s="93" t="s">
        <v>92</v>
      </c>
      <c r="C76" s="45">
        <v>73</v>
      </c>
      <c r="D76" s="141">
        <f xml:space="preserve"> SUM(D77:D82)</f>
        <v>0</v>
      </c>
      <c r="E76" s="141">
        <f t="shared" ref="E76:G76" si="3" xml:space="preserve"> SUM(E77:E82)</f>
        <v>3823</v>
      </c>
      <c r="F76" s="141">
        <f t="shared" si="3"/>
        <v>0</v>
      </c>
      <c r="G76" s="141">
        <f t="shared" si="3"/>
        <v>0</v>
      </c>
      <c r="H76" s="122" t="str">
        <f>CONCATENATE(Р2[[#This Row],[Пр. ПРОК]]," ",Р2[[#This Row],[Пр. МВД]]," ",Р2[[#This Row],[Пр. ГКНБ]]," ",Р2[[#This Row],[Пр. ГСИН]])</f>
        <v xml:space="preserve">   </v>
      </c>
      <c r="I76" s="80" t="str">
        <f>IF(Р2[[#This Row],[Прокуратура]]=SUM('Отчет 1-Е Р.1'!E354,'Отчет 1-Е Р.1'!G354,'Отчет 1-Е Р.1'!E357,'Отчет 1-Е Р.1'!G357),"",CONCATENATE("Прок: ",$C$76," = (Р1:",'Отчет 1-Е Р.1'!$C$354,"(в суд)+Р1:",'Отчет 1-Е Р.1'!$C$354,"(прекращ.)+Р1:",'Отчет 1-Е Р.1'!$C$357,"(в суд)+Р1:",'Отчет 1-Е Р.1'!$C$357,"(прекращ.))"))</f>
        <v/>
      </c>
      <c r="J76" s="80" t="str">
        <f>IF(Р2[[#This Row],[МВД]]=SUM('Отчет 1-Е Р.1'!I354,'Отчет 1-Е Р.1'!K354,'Отчет 1-Е Р.1'!I357,'Отчет 1-Е Р.1'!K357),"",CONCATENATE(Р2[[#Headers],[МВД]],": ",$C$76," = (Р1:",'Отчет 1-Е Р.1'!$C$354,"(в суд)+Р1:",'Отчет 1-Е Р.1'!$C$354,"(прекращ.)+Р1:",'Отчет 1-Е Р.1'!$C$357,"(в суд)+Р1:",'Отчет 1-Е Р.1'!$C$357,"(прекращ.))"))</f>
        <v/>
      </c>
      <c r="K76" s="80" t="str">
        <f>IF(Р2[[#This Row],[ГКНБ]]=SUM('Отчет 1-Е Р.1'!M354,'Отчет 1-Е Р.1'!O354,'Отчет 1-Е Р.1'!M357,'Отчет 1-Е Р.1'!O357),"",CONCATENATE(Р2[[#Headers],[ГКНБ]],": ",$C$76," = (Р1:",'Отчет 1-Е Р.1'!$C$354,"(в суд)+Р1:",'Отчет 1-Е Р.1'!$C$354,"(прекращ.)+Р1:",'Отчет 1-Е Р.1'!$C$357,"(в суд)+Р1:",'Отчет 1-Е Р.1'!$C$357,"(прекращ.))"))</f>
        <v/>
      </c>
      <c r="L76" s="80" t="str">
        <f>IF(Р2[[#This Row],[ГСИН]]=SUM('Отчет 1-Е Р.1'!Q354,'Отчет 1-Е Р.1'!S354,'Отчет 1-Е Р.1'!Q357,'Отчет 1-Е Р.1'!S357),"",CONCATENATE(Р2[[#Headers],[ГСИН]],": ",$C$76," = (Р1:",'Отчет 1-Е Р.1'!$C$354,"(в суд)+Р1:",'Отчет 1-Е Р.1'!$C$354,"(прекращ.)+Р1:",'Отчет 1-Е Р.1'!$C$357,"(в суд)+Р1:",'Отчет 1-Е Р.1'!$C$357,"(прекращ.))"))</f>
        <v/>
      </c>
      <c r="M76" s="71"/>
    </row>
    <row r="77" spans="1:13" ht="20.100000000000001" customHeight="1" x14ac:dyDescent="0.25">
      <c r="A77" s="92" t="s">
        <v>513</v>
      </c>
      <c r="B77" s="94" t="s">
        <v>91</v>
      </c>
      <c r="C77" s="45">
        <v>74</v>
      </c>
      <c r="D77" s="143"/>
      <c r="E77" s="167">
        <v>1225</v>
      </c>
      <c r="F77" s="143"/>
      <c r="G77" s="143"/>
      <c r="H77" s="118" t="str">
        <f>CONCATENATE(Р2[[#This Row],[Пр. ПРОК]]," ",Р2[[#This Row],[Пр. МВД]]," ",Р2[[#This Row],[Пр. ГКНБ]]," ",Р2[[#This Row],[Пр. ГСИН]])</f>
        <v xml:space="preserve">   </v>
      </c>
      <c r="I77" s="70"/>
      <c r="J77" s="70"/>
      <c r="K77" s="70"/>
      <c r="L77" s="70"/>
      <c r="M77" s="71"/>
    </row>
    <row r="78" spans="1:13" ht="20.100000000000001" customHeight="1" x14ac:dyDescent="0.25">
      <c r="A78" s="92" t="s">
        <v>513</v>
      </c>
      <c r="B78" s="94" t="s">
        <v>90</v>
      </c>
      <c r="C78" s="45">
        <v>75</v>
      </c>
      <c r="D78" s="143"/>
      <c r="E78" s="167"/>
      <c r="F78" s="143"/>
      <c r="G78" s="143"/>
      <c r="H78" s="118" t="str">
        <f>CONCATENATE(Р2[[#This Row],[Пр. ПРОК]]," ",Р2[[#This Row],[Пр. МВД]]," ",Р2[[#This Row],[Пр. ГКНБ]]," ",Р2[[#This Row],[Пр. ГСИН]])</f>
        <v xml:space="preserve">   </v>
      </c>
      <c r="I78" s="70"/>
      <c r="J78" s="70"/>
      <c r="K78" s="70"/>
      <c r="L78" s="70"/>
      <c r="M78" s="71"/>
    </row>
    <row r="79" spans="1:13" ht="20.100000000000001" customHeight="1" x14ac:dyDescent="0.25">
      <c r="A79" s="92" t="s">
        <v>513</v>
      </c>
      <c r="B79" s="94" t="s">
        <v>89</v>
      </c>
      <c r="C79" s="45">
        <v>76</v>
      </c>
      <c r="D79" s="143"/>
      <c r="E79" s="167">
        <v>2598</v>
      </c>
      <c r="F79" s="143"/>
      <c r="G79" s="143"/>
      <c r="H79" s="118" t="str">
        <f>CONCATENATE(Р2[[#This Row],[Пр. ПРОК]]," ",Р2[[#This Row],[Пр. МВД]]," ",Р2[[#This Row],[Пр. ГКНБ]]," ",Р2[[#This Row],[Пр. ГСИН]])</f>
        <v xml:space="preserve">   </v>
      </c>
      <c r="I79" s="70"/>
      <c r="J79" s="70"/>
      <c r="K79" s="70"/>
      <c r="L79" s="70"/>
      <c r="M79" s="71"/>
    </row>
    <row r="80" spans="1:13" ht="20.100000000000001" customHeight="1" x14ac:dyDescent="0.25">
      <c r="A80" s="92" t="s">
        <v>513</v>
      </c>
      <c r="B80" s="94" t="s">
        <v>88</v>
      </c>
      <c r="C80" s="45">
        <v>77</v>
      </c>
      <c r="D80" s="143"/>
      <c r="E80" s="165"/>
      <c r="F80" s="143"/>
      <c r="G80" s="143"/>
      <c r="H80" s="118" t="str">
        <f>CONCATENATE(Р2[[#This Row],[Пр. ПРОК]]," ",Р2[[#This Row],[Пр. МВД]]," ",Р2[[#This Row],[Пр. ГКНБ]]," ",Р2[[#This Row],[Пр. ГСИН]])</f>
        <v xml:space="preserve">   </v>
      </c>
      <c r="I80" s="70"/>
      <c r="J80" s="70"/>
      <c r="K80" s="70"/>
      <c r="L80" s="70"/>
      <c r="M80" s="71"/>
    </row>
    <row r="81" spans="1:13" ht="20.100000000000001" customHeight="1" x14ac:dyDescent="0.25">
      <c r="A81" s="92" t="s">
        <v>513</v>
      </c>
      <c r="B81" s="94" t="s">
        <v>87</v>
      </c>
      <c r="C81" s="45">
        <v>78</v>
      </c>
      <c r="D81" s="143"/>
      <c r="E81" s="165"/>
      <c r="F81" s="143"/>
      <c r="G81" s="143"/>
      <c r="H81" s="118" t="str">
        <f>CONCATENATE(Р2[[#This Row],[Пр. ПРОК]]," ",Р2[[#This Row],[Пр. МВД]]," ",Р2[[#This Row],[Пр. ГКНБ]]," ",Р2[[#This Row],[Пр. ГСИН]])</f>
        <v xml:space="preserve">   </v>
      </c>
      <c r="I81" s="70"/>
      <c r="J81" s="70"/>
      <c r="K81" s="70"/>
      <c r="L81" s="70"/>
      <c r="M81" s="71"/>
    </row>
    <row r="82" spans="1:13" ht="20.100000000000001" customHeight="1" x14ac:dyDescent="0.25">
      <c r="A82" s="92" t="s">
        <v>513</v>
      </c>
      <c r="B82" s="94" t="s">
        <v>86</v>
      </c>
      <c r="C82" s="45">
        <v>79</v>
      </c>
      <c r="D82" s="143"/>
      <c r="E82" s="165"/>
      <c r="F82" s="143"/>
      <c r="G82" s="143"/>
      <c r="H82" s="118" t="str">
        <f>CONCATENATE(Р2[[#This Row],[Пр. ПРОК]]," ",Р2[[#This Row],[Пр. МВД]]," ",Р2[[#This Row],[Пр. ГКНБ]]," ",Р2[[#This Row],[Пр. ГСИН]])</f>
        <v xml:space="preserve">   </v>
      </c>
      <c r="I82" s="70"/>
      <c r="J82" s="70"/>
      <c r="K82" s="70"/>
      <c r="L82" s="70"/>
      <c r="M82" s="71"/>
    </row>
    <row r="83" spans="1:13" ht="20.100000000000001" customHeight="1" x14ac:dyDescent="0.25">
      <c r="A83" s="91" t="s">
        <v>514</v>
      </c>
      <c r="B83" s="146" t="s">
        <v>505</v>
      </c>
      <c r="C83" s="45">
        <v>80</v>
      </c>
      <c r="D83" s="145"/>
      <c r="E83" s="145"/>
      <c r="F83" s="145"/>
      <c r="G83" s="145"/>
      <c r="H83" s="118" t="str">
        <f>CONCATENATE(Р2[[#This Row],[Пр. ПРОК]]," ",Р2[[#This Row],[Пр. МВД]]," ",Р2[[#This Row],[Пр. ГКНБ]]," ",Р2[[#This Row],[Пр. ГСИН]])</f>
        <v xml:space="preserve">   </v>
      </c>
      <c r="I83" s="70"/>
      <c r="J83" s="70"/>
      <c r="K83" s="70"/>
      <c r="L83" s="70"/>
      <c r="M83" s="71"/>
    </row>
    <row r="84" spans="1:13" ht="20.100000000000001" customHeight="1" x14ac:dyDescent="0.25">
      <c r="A84" s="92" t="s">
        <v>514</v>
      </c>
      <c r="B84" s="93" t="s">
        <v>895</v>
      </c>
      <c r="C84" s="45">
        <v>81</v>
      </c>
      <c r="D84" s="141">
        <f>SUM(D85:D93,D95,D97:D98,D100,D102,D104,D105)</f>
        <v>0</v>
      </c>
      <c r="E84" s="141">
        <f>SUM(E85:E93,E97:E98,E100,E102,E104,E105,E95,)</f>
        <v>3146</v>
      </c>
      <c r="F84" s="141">
        <f>SUM(F85:F93,F97:F98,F100,F102,F104,F105)</f>
        <v>0</v>
      </c>
      <c r="G84" s="141">
        <f>SUM(G85:G93,G97:G98,G100,G102,G104,G105)</f>
        <v>0</v>
      </c>
      <c r="H84" s="119" t="str">
        <f>CONCATENATE(Р2[[#This Row],[Пр. ПРОК]]," ",Р2[[#This Row],[Пр. МВД]]," ",Р2[[#This Row],[Пр. ГКНБ]]," ",Р2[[#This Row],[Пр. ГСИН]])</f>
        <v xml:space="preserve">   </v>
      </c>
      <c r="I84" s="80" t="str">
        <f>IF((Р2[[#This Row],[Прокуратура]]-D124)='Отчет 1-Е Р.1'!G354,"",CONCATENATE("Прок: ",,$C$84,"-", $C124,")=Р1:",'Отчет 1-Е Р.1'!$C$354,"(Прекращ.)"))</f>
        <v/>
      </c>
      <c r="J84" s="80" t="str">
        <f>IF((Р2[[#This Row],[МВД]]-E124)='Отчет 1-Е Р.1'!K354,"",CONCATENATE(Р2[[#Headers],[МВД]],": ",$C$84,"-", $C124,")=Р1:",'Отчет 1-Е Р.1'!$C$354,"(Прекращ.)"))</f>
        <v/>
      </c>
      <c r="K84" s="80" t="str">
        <f>IF((Р2[[#This Row],[ГКНБ]]-F124)='Отчет 1-Е Р.1'!O354,"",CONCATENATE(Р2[[#Headers],[ГКНБ]],": ",$C$84,"-", $C124,")=Р1:",'Отчет 1-Е Р.1'!$C$354,"(Прекращ.)"))</f>
        <v/>
      </c>
      <c r="L84" s="80" t="str">
        <f>IF((Р2[[#This Row],[ГСИН]]-G124)='Отчет 1-Е Р.1'!S354,"",CONCATENATE(Р2[[#Headers],[ГСИН]],": (",$C$84,"-", $C124,")=Р1:",'Отчет 1-Е Р.1'!$C$354,"(Прекращ.)"))</f>
        <v/>
      </c>
      <c r="M84" s="71"/>
    </row>
    <row r="85" spans="1:13" ht="20.100000000000001" customHeight="1" x14ac:dyDescent="0.25">
      <c r="A85" s="92" t="s">
        <v>514</v>
      </c>
      <c r="B85" s="95" t="s">
        <v>835</v>
      </c>
      <c r="C85" s="45">
        <v>82</v>
      </c>
      <c r="D85" s="143"/>
      <c r="E85" s="164"/>
      <c r="F85" s="143"/>
      <c r="G85" s="143"/>
      <c r="H85" s="118" t="str">
        <f>CONCATENATE(Р2[[#This Row],[Пр. ПРОК]]," ",Р2[[#This Row],[Пр. МВД]]," ",Р2[[#This Row],[Пр. ГКНБ]]," ",Р2[[#This Row],[Пр. ГСИН]])</f>
        <v xml:space="preserve">   </v>
      </c>
      <c r="I85" s="70"/>
      <c r="J85" s="70"/>
      <c r="K85" s="70"/>
      <c r="L85" s="70"/>
      <c r="M85" s="71"/>
    </row>
    <row r="86" spans="1:13" ht="20.100000000000001" customHeight="1" x14ac:dyDescent="0.25">
      <c r="A86" s="92" t="s">
        <v>514</v>
      </c>
      <c r="B86" s="95" t="s">
        <v>836</v>
      </c>
      <c r="C86" s="45">
        <v>83</v>
      </c>
      <c r="D86" s="143"/>
      <c r="E86" s="164">
        <v>89</v>
      </c>
      <c r="F86" s="143"/>
      <c r="G86" s="143"/>
      <c r="H86" s="118" t="str">
        <f>CONCATENATE(Р2[[#This Row],[Пр. ПРОК]]," ",Р2[[#This Row],[Пр. МВД]]," ",Р2[[#This Row],[Пр. ГКНБ]]," ",Р2[[#This Row],[Пр. ГСИН]])</f>
        <v xml:space="preserve">   </v>
      </c>
      <c r="I86" s="70"/>
      <c r="J86" s="70"/>
      <c r="K86" s="70"/>
      <c r="L86" s="70"/>
      <c r="M86" s="71"/>
    </row>
    <row r="87" spans="1:13" ht="20.100000000000001" customHeight="1" x14ac:dyDescent="0.25">
      <c r="A87" s="92" t="s">
        <v>514</v>
      </c>
      <c r="B87" s="95" t="s">
        <v>5</v>
      </c>
      <c r="C87" s="45">
        <v>84</v>
      </c>
      <c r="D87" s="143"/>
      <c r="E87" s="164"/>
      <c r="F87" s="143"/>
      <c r="G87" s="143"/>
      <c r="H87" s="118" t="str">
        <f>CONCATENATE(Р2[[#This Row],[Пр. ПРОК]]," ",Р2[[#This Row],[Пр. МВД]]," ",Р2[[#This Row],[Пр. ГКНБ]]," ",Р2[[#This Row],[Пр. ГСИН]])</f>
        <v xml:space="preserve">   </v>
      </c>
      <c r="I87" s="70"/>
      <c r="J87" s="70"/>
      <c r="K87" s="70"/>
      <c r="L87" s="70"/>
      <c r="M87" s="71"/>
    </row>
    <row r="88" spans="1:13" ht="20.100000000000001" customHeight="1" x14ac:dyDescent="0.25">
      <c r="A88" s="92" t="s">
        <v>514</v>
      </c>
      <c r="B88" s="95" t="s">
        <v>4</v>
      </c>
      <c r="C88" s="45">
        <v>85</v>
      </c>
      <c r="D88" s="143"/>
      <c r="E88" s="164">
        <v>1</v>
      </c>
      <c r="F88" s="143"/>
      <c r="G88" s="143"/>
      <c r="H88" s="118" t="str">
        <f>CONCATENATE(Р2[[#This Row],[Пр. ПРОК]]," ",Р2[[#This Row],[Пр. МВД]]," ",Р2[[#This Row],[Пр. ГКНБ]]," ",Р2[[#This Row],[Пр. ГСИН]])</f>
        <v xml:space="preserve">   </v>
      </c>
      <c r="I88" s="70"/>
      <c r="J88" s="70"/>
      <c r="K88" s="70"/>
      <c r="L88" s="70"/>
      <c r="M88" s="71"/>
    </row>
    <row r="89" spans="1:13" ht="20.100000000000001" customHeight="1" x14ac:dyDescent="0.25">
      <c r="A89" s="92" t="s">
        <v>514</v>
      </c>
      <c r="B89" s="95" t="s">
        <v>534</v>
      </c>
      <c r="C89" s="45">
        <v>86</v>
      </c>
      <c r="D89" s="143"/>
      <c r="E89" s="164">
        <v>2</v>
      </c>
      <c r="F89" s="143"/>
      <c r="G89" s="143"/>
      <c r="H89" s="118" t="str">
        <f>CONCATENATE(Р2[[#This Row],[Пр. ПРОК]]," ",Р2[[#This Row],[Пр. МВД]]," ",Р2[[#This Row],[Пр. ГКНБ]]," ",Р2[[#This Row],[Пр. ГСИН]])</f>
        <v xml:space="preserve">   </v>
      </c>
      <c r="I89" s="70"/>
      <c r="J89" s="70"/>
      <c r="K89" s="70"/>
      <c r="L89" s="70"/>
      <c r="M89" s="71"/>
    </row>
    <row r="90" spans="1:13" ht="20.100000000000001" customHeight="1" x14ac:dyDescent="0.25">
      <c r="A90" s="92" t="s">
        <v>514</v>
      </c>
      <c r="B90" s="95" t="s">
        <v>535</v>
      </c>
      <c r="C90" s="45">
        <v>87</v>
      </c>
      <c r="D90" s="143"/>
      <c r="E90" s="164">
        <v>1</v>
      </c>
      <c r="F90" s="143"/>
      <c r="G90" s="143"/>
      <c r="H90" s="118" t="str">
        <f>CONCATENATE(Р2[[#This Row],[Пр. ПРОК]]," ",Р2[[#This Row],[Пр. МВД]]," ",Р2[[#This Row],[Пр. ГКНБ]]," ",Р2[[#This Row],[Пр. ГСИН]])</f>
        <v xml:space="preserve">   </v>
      </c>
      <c r="I90" s="70"/>
      <c r="J90" s="70"/>
      <c r="K90" s="70"/>
      <c r="L90" s="70"/>
      <c r="M90" s="71"/>
    </row>
    <row r="91" spans="1:13" ht="20.100000000000001" customHeight="1" x14ac:dyDescent="0.25">
      <c r="A91" s="92" t="s">
        <v>514</v>
      </c>
      <c r="B91" s="95" t="s">
        <v>536</v>
      </c>
      <c r="C91" s="45">
        <v>88</v>
      </c>
      <c r="D91" s="143"/>
      <c r="E91" s="164">
        <v>5</v>
      </c>
      <c r="F91" s="143"/>
      <c r="G91" s="143"/>
      <c r="H91" s="118" t="str">
        <f>CONCATENATE(Р2[[#This Row],[Пр. ПРОК]]," ",Р2[[#This Row],[Пр. МВД]]," ",Р2[[#This Row],[Пр. ГКНБ]]," ",Р2[[#This Row],[Пр. ГСИН]])</f>
        <v xml:space="preserve">   </v>
      </c>
      <c r="I91" s="70"/>
      <c r="J91" s="70"/>
      <c r="K91" s="70"/>
      <c r="L91" s="70"/>
      <c r="M91" s="71"/>
    </row>
    <row r="92" spans="1:13" ht="20.100000000000001" customHeight="1" x14ac:dyDescent="0.25">
      <c r="A92" s="92" t="s">
        <v>514</v>
      </c>
      <c r="B92" s="95" t="s">
        <v>537</v>
      </c>
      <c r="C92" s="45">
        <v>89</v>
      </c>
      <c r="D92" s="143"/>
      <c r="E92" s="164"/>
      <c r="F92" s="143"/>
      <c r="G92" s="143"/>
      <c r="H92" s="118" t="str">
        <f>CONCATENATE(Р2[[#This Row],[Пр. ПРОК]]," ",Р2[[#This Row],[Пр. МВД]]," ",Р2[[#This Row],[Пр. ГКНБ]]," ",Р2[[#This Row],[Пр. ГСИН]])</f>
        <v xml:space="preserve">   </v>
      </c>
      <c r="I92" s="70"/>
      <c r="J92" s="70"/>
      <c r="K92" s="70"/>
      <c r="L92" s="70"/>
      <c r="M92" s="71"/>
    </row>
    <row r="93" spans="1:13" ht="20.100000000000001" customHeight="1" x14ac:dyDescent="0.25">
      <c r="A93" s="92" t="s">
        <v>514</v>
      </c>
      <c r="B93" s="95" t="s">
        <v>865</v>
      </c>
      <c r="C93" s="45">
        <v>90</v>
      </c>
      <c r="D93" s="143"/>
      <c r="E93" s="164">
        <v>12</v>
      </c>
      <c r="F93" s="143"/>
      <c r="G93" s="143"/>
      <c r="H93" s="118" t="str">
        <f>CONCATENATE(Р2[[#This Row],[Пр. ПРОК]]," ",Р2[[#This Row],[Пр. МВД]]," ",Р2[[#This Row],[Пр. ГКНБ]]," ",Р2[[#This Row],[Пр. ГСИН]])</f>
        <v xml:space="preserve">   </v>
      </c>
      <c r="I93" s="70"/>
      <c r="J93" s="70"/>
      <c r="K93" s="70"/>
      <c r="L93" s="70"/>
      <c r="M93" s="71"/>
    </row>
    <row r="94" spans="1:13" ht="20.100000000000001" customHeight="1" x14ac:dyDescent="0.25">
      <c r="A94" s="92" t="s">
        <v>514</v>
      </c>
      <c r="B94" s="96" t="s">
        <v>538</v>
      </c>
      <c r="C94" s="45">
        <v>91</v>
      </c>
      <c r="D94" s="143"/>
      <c r="E94" s="164">
        <v>14</v>
      </c>
      <c r="F94" s="143"/>
      <c r="G94" s="143"/>
      <c r="H94" s="118" t="str">
        <f>CONCATENATE(Р2[[#This Row],[Пр. ПРОК]]," ",Р2[[#This Row],[Пр. МВД]]," ",Р2[[#This Row],[Пр. ГКНБ]]," ",Р2[[#This Row],[Пр. ГСИН]])</f>
        <v xml:space="preserve">   </v>
      </c>
      <c r="I94" s="70"/>
      <c r="J94" s="70"/>
      <c r="K94" s="70"/>
      <c r="L94" s="70"/>
      <c r="M94" s="71"/>
    </row>
    <row r="95" spans="1:13" ht="20.100000000000001" customHeight="1" x14ac:dyDescent="0.25">
      <c r="A95" s="92"/>
      <c r="B95" s="138" t="s">
        <v>907</v>
      </c>
      <c r="C95" s="45">
        <v>92</v>
      </c>
      <c r="D95" s="143"/>
      <c r="E95" s="164"/>
      <c r="F95" s="143"/>
      <c r="G95" s="143"/>
      <c r="H95" s="118" t="str">
        <f>CONCATENATE(Р2[[#This Row],[Пр. ПРОК]]," ",Р2[[#This Row],[Пр. МВД]]," ",Р2[[#This Row],[Пр. ГКНБ]]," ",Р2[[#This Row],[Пр. ГСИН]])</f>
        <v xml:space="preserve">   </v>
      </c>
      <c r="I95" s="70"/>
      <c r="J95" s="70"/>
      <c r="K95" s="70"/>
      <c r="L95" s="70"/>
      <c r="M95" s="71"/>
    </row>
    <row r="96" spans="1:13" ht="20.100000000000001" customHeight="1" x14ac:dyDescent="0.25">
      <c r="A96" s="92"/>
      <c r="B96" s="96" t="s">
        <v>905</v>
      </c>
      <c r="C96" s="45">
        <v>93</v>
      </c>
      <c r="D96" s="143"/>
      <c r="E96" s="164"/>
      <c r="F96" s="143"/>
      <c r="G96" s="143"/>
      <c r="H96" s="118" t="str">
        <f>CONCATENATE(Р2[[#This Row],[Пр. ПРОК]]," ",Р2[[#This Row],[Пр. МВД]]," ",Р2[[#This Row],[Пр. ГКНБ]]," ",Р2[[#This Row],[Пр. ГСИН]])</f>
        <v xml:space="preserve">   </v>
      </c>
      <c r="I96" s="70"/>
      <c r="J96" s="70"/>
      <c r="K96" s="70"/>
      <c r="L96" s="70"/>
      <c r="M96" s="71"/>
    </row>
    <row r="97" spans="1:13" ht="20.100000000000001" customHeight="1" x14ac:dyDescent="0.25">
      <c r="A97" s="92" t="s">
        <v>514</v>
      </c>
      <c r="B97" s="95" t="s">
        <v>3</v>
      </c>
      <c r="C97" s="45">
        <v>94</v>
      </c>
      <c r="D97" s="143"/>
      <c r="E97" s="164">
        <v>1054</v>
      </c>
      <c r="F97" s="143"/>
      <c r="G97" s="143"/>
      <c r="H97" s="118" t="str">
        <f>CONCATENATE(Р2[[#This Row],[Пр. ПРОК]]," ",Р2[[#This Row],[Пр. МВД]]," ",Р2[[#This Row],[Пр. ГКНБ]]," ",Р2[[#This Row],[Пр. ГСИН]])</f>
        <v xml:space="preserve">   </v>
      </c>
      <c r="I97" s="70"/>
      <c r="J97" s="70"/>
      <c r="K97" s="70"/>
      <c r="L97" s="70"/>
      <c r="M97" s="71"/>
    </row>
    <row r="98" spans="1:13" ht="20.100000000000001" customHeight="1" x14ac:dyDescent="0.25">
      <c r="A98" s="92" t="s">
        <v>514</v>
      </c>
      <c r="B98" s="95" t="s">
        <v>539</v>
      </c>
      <c r="C98" s="45">
        <v>95</v>
      </c>
      <c r="D98" s="143"/>
      <c r="E98" s="164"/>
      <c r="F98" s="143"/>
      <c r="G98" s="143"/>
      <c r="H98" s="118" t="str">
        <f>CONCATENATE(Р2[[#This Row],[Пр. ПРОК]]," ",Р2[[#This Row],[Пр. МВД]]," ",Р2[[#This Row],[Пр. ГКНБ]]," ",Р2[[#This Row],[Пр. ГСИН]])</f>
        <v xml:space="preserve">   </v>
      </c>
      <c r="I98" s="70"/>
      <c r="J98" s="70"/>
      <c r="K98" s="70"/>
      <c r="L98" s="70"/>
      <c r="M98" s="71"/>
    </row>
    <row r="99" spans="1:13" ht="20.100000000000001" customHeight="1" x14ac:dyDescent="0.25">
      <c r="A99" s="92" t="s">
        <v>514</v>
      </c>
      <c r="B99" s="96" t="s">
        <v>540</v>
      </c>
      <c r="C99" s="45">
        <v>96</v>
      </c>
      <c r="D99" s="143"/>
      <c r="E99" s="164"/>
      <c r="F99" s="143"/>
      <c r="G99" s="143"/>
      <c r="H99" s="118" t="str">
        <f>CONCATENATE(Р2[[#This Row],[Пр. ПРОК]]," ",Р2[[#This Row],[Пр. МВД]]," ",Р2[[#This Row],[Пр. ГКНБ]]," ",Р2[[#This Row],[Пр. ГСИН]])</f>
        <v xml:space="preserve">   </v>
      </c>
      <c r="I99" s="70"/>
      <c r="J99" s="70"/>
      <c r="K99" s="70"/>
      <c r="L99" s="70"/>
      <c r="M99" s="71"/>
    </row>
    <row r="100" spans="1:13" ht="20.100000000000001" customHeight="1" x14ac:dyDescent="0.25">
      <c r="A100" s="92" t="s">
        <v>514</v>
      </c>
      <c r="B100" s="95" t="s">
        <v>85</v>
      </c>
      <c r="C100" s="45">
        <v>97</v>
      </c>
      <c r="D100" s="143"/>
      <c r="E100" s="164">
        <v>1286</v>
      </c>
      <c r="F100" s="143"/>
      <c r="G100" s="143"/>
      <c r="H100" s="118" t="str">
        <f>CONCATENATE(Р2[[#This Row],[Пр. ПРОК]]," ",Р2[[#This Row],[Пр. МВД]]," ",Р2[[#This Row],[Пр. ГКНБ]]," ",Р2[[#This Row],[Пр. ГСИН]])</f>
        <v xml:space="preserve">   </v>
      </c>
      <c r="I100" s="70"/>
      <c r="J100" s="70"/>
      <c r="K100" s="70"/>
      <c r="L100" s="70"/>
      <c r="M100" s="71"/>
    </row>
    <row r="101" spans="1:13" ht="20.100000000000001" customHeight="1" x14ac:dyDescent="0.25">
      <c r="A101" s="92" t="s">
        <v>514</v>
      </c>
      <c r="B101" s="96" t="s">
        <v>541</v>
      </c>
      <c r="C101" s="45">
        <v>98</v>
      </c>
      <c r="D101" s="143"/>
      <c r="E101" s="164">
        <v>15</v>
      </c>
      <c r="F101" s="143"/>
      <c r="G101" s="143"/>
      <c r="H101" s="118" t="str">
        <f>CONCATENATE(Р2[[#This Row],[Пр. ПРОК]]," ",Р2[[#This Row],[Пр. МВД]]," ",Р2[[#This Row],[Пр. ГКНБ]]," ",Р2[[#This Row],[Пр. ГСИН]])</f>
        <v xml:space="preserve">   </v>
      </c>
      <c r="I101" s="70"/>
      <c r="J101" s="70"/>
      <c r="K101" s="70"/>
      <c r="L101" s="70"/>
      <c r="M101" s="71"/>
    </row>
    <row r="102" spans="1:13" ht="20.100000000000001" customHeight="1" x14ac:dyDescent="0.25">
      <c r="A102" s="92" t="s">
        <v>514</v>
      </c>
      <c r="B102" s="95" t="s">
        <v>84</v>
      </c>
      <c r="C102" s="45">
        <v>99</v>
      </c>
      <c r="D102" s="143"/>
      <c r="E102" s="164">
        <v>657</v>
      </c>
      <c r="F102" s="143"/>
      <c r="G102" s="143"/>
      <c r="H102" s="118" t="str">
        <f>CONCATENATE(Р2[[#This Row],[Пр. ПРОК]]," ",Р2[[#This Row],[Пр. МВД]]," ",Р2[[#This Row],[Пр. ГКНБ]]," ",Р2[[#This Row],[Пр. ГСИН]])</f>
        <v xml:space="preserve">   </v>
      </c>
      <c r="I102" s="70"/>
      <c r="J102" s="70"/>
      <c r="K102" s="70"/>
      <c r="L102" s="70"/>
      <c r="M102" s="71"/>
    </row>
    <row r="103" spans="1:13" ht="20.100000000000001" customHeight="1" x14ac:dyDescent="0.25">
      <c r="A103" s="92" t="s">
        <v>514</v>
      </c>
      <c r="B103" s="96" t="s">
        <v>542</v>
      </c>
      <c r="C103" s="45">
        <v>100</v>
      </c>
      <c r="D103" s="143"/>
      <c r="E103" s="164">
        <v>706</v>
      </c>
      <c r="F103" s="143"/>
      <c r="G103" s="143"/>
      <c r="H103" s="118" t="str">
        <f>CONCATENATE(Р2[[#This Row],[Пр. ПРОК]]," ",Р2[[#This Row],[Пр. МВД]]," ",Р2[[#This Row],[Пр. ГКНБ]]," ",Р2[[#This Row],[Пр. ГСИН]])</f>
        <v xml:space="preserve">   </v>
      </c>
      <c r="I103" s="70"/>
      <c r="J103" s="70"/>
      <c r="K103" s="70"/>
      <c r="L103" s="70"/>
      <c r="M103" s="71"/>
    </row>
    <row r="104" spans="1:13" ht="20.100000000000001" customHeight="1" x14ac:dyDescent="0.25">
      <c r="A104" s="92" t="s">
        <v>514</v>
      </c>
      <c r="B104" s="95" t="s">
        <v>543</v>
      </c>
      <c r="C104" s="45">
        <v>101</v>
      </c>
      <c r="D104" s="143"/>
      <c r="E104" s="164"/>
      <c r="F104" s="143"/>
      <c r="G104" s="143"/>
      <c r="H104" s="118" t="str">
        <f>CONCATENATE(Р2[[#This Row],[Пр. ПРОК]]," ",Р2[[#This Row],[Пр. МВД]]," ",Р2[[#This Row],[Пр. ГКНБ]]," ",Р2[[#This Row],[Пр. ГСИН]])</f>
        <v xml:space="preserve">   </v>
      </c>
      <c r="I104" s="70"/>
      <c r="J104" s="70"/>
      <c r="K104" s="70"/>
      <c r="L104" s="70"/>
      <c r="M104" s="71"/>
    </row>
    <row r="105" spans="1:13" ht="20.100000000000001" customHeight="1" x14ac:dyDescent="0.25">
      <c r="A105" s="92" t="s">
        <v>514</v>
      </c>
      <c r="B105" s="95" t="s">
        <v>544</v>
      </c>
      <c r="C105" s="45">
        <v>102</v>
      </c>
      <c r="D105" s="143"/>
      <c r="E105" s="164">
        <v>39</v>
      </c>
      <c r="F105" s="143"/>
      <c r="G105" s="143"/>
      <c r="H105" s="118" t="str">
        <f>CONCATENATE(Р2[[#This Row],[Пр. ПРОК]]," ",Р2[[#This Row],[Пр. МВД]]," ",Р2[[#This Row],[Пр. ГКНБ]]," ",Р2[[#This Row],[Пр. ГСИН]])</f>
        <v xml:space="preserve">   </v>
      </c>
      <c r="I105" s="70"/>
      <c r="J105" s="70"/>
      <c r="K105" s="70"/>
      <c r="L105" s="70"/>
      <c r="M105" s="71"/>
    </row>
    <row r="106" spans="1:13" ht="20.100000000000001" customHeight="1" x14ac:dyDescent="0.25">
      <c r="A106" s="92" t="s">
        <v>514</v>
      </c>
      <c r="B106" s="96" t="s">
        <v>522</v>
      </c>
      <c r="C106" s="45">
        <v>103</v>
      </c>
      <c r="D106" s="143"/>
      <c r="E106" s="164">
        <v>49</v>
      </c>
      <c r="F106" s="143"/>
      <c r="G106" s="143"/>
      <c r="H106" s="118" t="str">
        <f>CONCATENATE(Р2[[#This Row],[Пр. ПРОК]]," ",Р2[[#This Row],[Пр. МВД]]," ",Р2[[#This Row],[Пр. ГКНБ]]," ",Р2[[#This Row],[Пр. ГСИН]])</f>
        <v xml:space="preserve">   </v>
      </c>
      <c r="I106" s="70"/>
      <c r="J106" s="70"/>
      <c r="K106" s="70"/>
      <c r="L106" s="70"/>
      <c r="M106" s="71"/>
    </row>
    <row r="107" spans="1:13" ht="22.5" customHeight="1" x14ac:dyDescent="0.25">
      <c r="A107" s="92" t="s">
        <v>514</v>
      </c>
      <c r="B107" s="95" t="s">
        <v>904</v>
      </c>
      <c r="C107" s="45">
        <v>104</v>
      </c>
      <c r="D107" s="141">
        <f>SUM(D91,D94,D96,D99,D101,D103,D106)</f>
        <v>0</v>
      </c>
      <c r="E107" s="141">
        <f>SUM(E91,E94,E99,E101,E103,E106,E96)</f>
        <v>789</v>
      </c>
      <c r="F107" s="141">
        <f>SUM(F91,F94,F99,F101,F103,F106)</f>
        <v>0</v>
      </c>
      <c r="G107" s="141">
        <f>SUM(G91,G94,G99,G101,G103,G106)</f>
        <v>0</v>
      </c>
      <c r="H107" s="118" t="str">
        <f>CONCATENATE(Р2[[#This Row],[Пр. ПРОК]]," ",Р2[[#This Row],[Пр. МВД]]," ",Р2[[#This Row],[Пр. ГКНБ]]," ",Р2[[#This Row],[Пр. ГСИН]])</f>
        <v xml:space="preserve">   </v>
      </c>
      <c r="I107" s="70"/>
      <c r="J107" s="70"/>
      <c r="K107" s="70"/>
      <c r="L107" s="70"/>
      <c r="M107" s="71"/>
    </row>
    <row r="108" spans="1:13" ht="20.100000000000001" customHeight="1" x14ac:dyDescent="0.25">
      <c r="A108" s="92" t="s">
        <v>514</v>
      </c>
      <c r="B108" s="93" t="s">
        <v>531</v>
      </c>
      <c r="C108" s="45">
        <v>105</v>
      </c>
      <c r="D108" s="141">
        <f t="shared" ref="D108:G108" si="4">SUM(D109:D111)</f>
        <v>0</v>
      </c>
      <c r="E108" s="141">
        <f t="shared" si="4"/>
        <v>108</v>
      </c>
      <c r="F108" s="141">
        <f t="shared" si="4"/>
        <v>0</v>
      </c>
      <c r="G108" s="141">
        <f t="shared" si="4"/>
        <v>0</v>
      </c>
      <c r="H108" s="119" t="str">
        <f>CONCATENATE(Р2[[#This Row],[Пр. ПРОК]]," ",Р2[[#This Row],[Пр. МВД]]," ",Р2[[#This Row],[Пр. ГКНБ]]," ",Р2[[#This Row],[Пр. ГСИН]])</f>
        <v xml:space="preserve">   </v>
      </c>
      <c r="I108" s="77" t="str">
        <f>IF(Р2[[#This Row],[Прокуратура]]&gt;=(D112+D113),"",CONCATENATE("Прок: ",$C$108,"&gt;=(",$C$112,"+",$C$113,")"))</f>
        <v/>
      </c>
      <c r="J108" s="80" t="str">
        <f>IF(Р2[[#This Row],[МВД]]&gt;=(E112+E113),"",CONCATENATE(Р2[[#Headers],[МВД]],": ",$C$108,"&gt;=(",$C$112,"+",$C$113,")"))</f>
        <v/>
      </c>
      <c r="K108" s="80" t="str">
        <f>IF(Р2[[#This Row],[ГКНБ]]&gt;=(F112+F113),"",CONCATENATE(Р2[[#Headers],[ГКНБ]],": ",$C$108,"&gt;=(",$C$112,"+",$C$113,")"))</f>
        <v/>
      </c>
      <c r="L108" s="80" t="str">
        <f>IF(Р2[[#This Row],[ГСИН]]&gt;=(G112+G113),"",CONCATENATE(Р2[[#Headers],[ГСИН]],": ",$C$108,"&gt;=(",$C$112,"+",$C$113,")"))</f>
        <v/>
      </c>
      <c r="M108" s="71"/>
    </row>
    <row r="109" spans="1:13" ht="20.100000000000001" customHeight="1" x14ac:dyDescent="0.25">
      <c r="A109" s="92" t="s">
        <v>514</v>
      </c>
      <c r="B109" s="95" t="s">
        <v>83</v>
      </c>
      <c r="C109" s="45">
        <v>106</v>
      </c>
      <c r="D109" s="143"/>
      <c r="E109" s="164"/>
      <c r="F109" s="143"/>
      <c r="G109" s="143"/>
      <c r="H109" s="118" t="str">
        <f>CONCATENATE(Р2[[#This Row],[Пр. ПРОК]]," ",Р2[[#This Row],[Пр. МВД]]," ",Р2[[#This Row],[Пр. ГКНБ]]," ",Р2[[#This Row],[Пр. ГСИН]])</f>
        <v xml:space="preserve">   </v>
      </c>
      <c r="I109" s="70"/>
      <c r="J109" s="70"/>
      <c r="K109" s="70"/>
      <c r="L109" s="70"/>
      <c r="M109" s="71"/>
    </row>
    <row r="110" spans="1:13" ht="20.100000000000001" customHeight="1" x14ac:dyDescent="0.25">
      <c r="A110" s="92" t="s">
        <v>514</v>
      </c>
      <c r="B110" s="97" t="s">
        <v>72</v>
      </c>
      <c r="C110" s="45">
        <v>107</v>
      </c>
      <c r="D110" s="143"/>
      <c r="E110" s="164">
        <v>108</v>
      </c>
      <c r="F110" s="143"/>
      <c r="G110" s="143"/>
      <c r="H110" s="118" t="str">
        <f>CONCATENATE(Р2[[#This Row],[Пр. ПРОК]]," ",Р2[[#This Row],[Пр. МВД]]," ",Р2[[#This Row],[Пр. ГКНБ]]," ",Р2[[#This Row],[Пр. ГСИН]])</f>
        <v xml:space="preserve">   </v>
      </c>
      <c r="I110" s="70"/>
      <c r="J110" s="70"/>
      <c r="K110" s="70"/>
      <c r="L110" s="70"/>
      <c r="M110" s="71"/>
    </row>
    <row r="111" spans="1:13" ht="20.100000000000001" customHeight="1" x14ac:dyDescent="0.25">
      <c r="A111" s="92" t="s">
        <v>514</v>
      </c>
      <c r="B111" s="95" t="s">
        <v>71</v>
      </c>
      <c r="C111" s="45">
        <v>108</v>
      </c>
      <c r="D111" s="143"/>
      <c r="E111" s="164"/>
      <c r="F111" s="143"/>
      <c r="G111" s="143"/>
      <c r="H111" s="118" t="str">
        <f>CONCATENATE(Р2[[#This Row],[Пр. ПРОК]]," ",Р2[[#This Row],[Пр. МВД]]," ",Р2[[#This Row],[Пр. ГКНБ]]," ",Р2[[#This Row],[Пр. ГСИН]])</f>
        <v xml:space="preserve">   </v>
      </c>
      <c r="I111" s="70"/>
      <c r="J111" s="70"/>
      <c r="K111" s="70"/>
      <c r="L111" s="70"/>
      <c r="M111" s="71"/>
    </row>
    <row r="112" spans="1:13" ht="20.100000000000001" customHeight="1" x14ac:dyDescent="0.25">
      <c r="A112" s="92" t="s">
        <v>514</v>
      </c>
      <c r="B112" s="96" t="s">
        <v>832</v>
      </c>
      <c r="C112" s="45">
        <v>109</v>
      </c>
      <c r="D112" s="143"/>
      <c r="E112" s="164"/>
      <c r="F112" s="143"/>
      <c r="G112" s="143"/>
      <c r="H112" s="118" t="str">
        <f>CONCATENATE(Р2[[#This Row],[Пр. ПРОК]]," ",Р2[[#This Row],[Пр. МВД]]," ",Р2[[#This Row],[Пр. ГКНБ]]," ",Р2[[#This Row],[Пр. ГСИН]])</f>
        <v xml:space="preserve">   </v>
      </c>
      <c r="I112" s="70"/>
      <c r="J112" s="70"/>
      <c r="K112" s="70"/>
      <c r="L112" s="70"/>
      <c r="M112" s="71"/>
    </row>
    <row r="113" spans="1:13" ht="20.100000000000001" customHeight="1" x14ac:dyDescent="0.25">
      <c r="A113" s="92" t="s">
        <v>514</v>
      </c>
      <c r="B113" s="96" t="s">
        <v>831</v>
      </c>
      <c r="C113" s="45">
        <v>110</v>
      </c>
      <c r="D113" s="143"/>
      <c r="E113" s="164"/>
      <c r="F113" s="143"/>
      <c r="G113" s="143"/>
      <c r="H113" s="118" t="str">
        <f>CONCATENATE(Р2[[#This Row],[Пр. ПРОК]]," ",Р2[[#This Row],[Пр. МВД]]," ",Р2[[#This Row],[Пр. ГКНБ]]," ",Р2[[#This Row],[Пр. ГСИН]])</f>
        <v xml:space="preserve">   </v>
      </c>
      <c r="I113" s="70"/>
      <c r="J113" s="70"/>
      <c r="K113" s="70"/>
      <c r="L113" s="70"/>
      <c r="M113" s="71"/>
    </row>
    <row r="114" spans="1:13" ht="20.100000000000001" customHeight="1" x14ac:dyDescent="0.25">
      <c r="A114" s="92" t="s">
        <v>514</v>
      </c>
      <c r="B114" s="95" t="s">
        <v>913</v>
      </c>
      <c r="C114" s="45">
        <v>111</v>
      </c>
      <c r="D114" s="143"/>
      <c r="E114" s="164">
        <v>90</v>
      </c>
      <c r="F114" s="143"/>
      <c r="G114" s="143"/>
      <c r="H114" s="118" t="str">
        <f>CONCATENATE(Р2[[#This Row],[Пр. ПРОК]]," ",Р2[[#This Row],[Пр. МВД]]," ",Р2[[#This Row],[Пр. ГКНБ]]," ",Р2[[#This Row],[Пр. ГСИН]])</f>
        <v xml:space="preserve">   </v>
      </c>
      <c r="I114" s="70" t="str">
        <f>IF(Р2[[#This Row],[Прокуратура]]&lt;=D108,"",CONCATENATE("Прок: ",$C$114,"&lt;=",$C$108))</f>
        <v/>
      </c>
      <c r="J114" s="70" t="str">
        <f>IF(Р2[[#This Row],[МВД]]&lt;=E108,"",CONCATENATE(Р2[[#Headers],[МВД]],": ",$C$114,"&lt;=",$C$108))</f>
        <v/>
      </c>
      <c r="K114" s="70" t="str">
        <f>IF(Р2[[#This Row],[ГКНБ]]&lt;=F108,"",CONCATENATE(Р2[[#Headers],[ГКНБ]],": ",$C$114,"&lt;=",$C$108))</f>
        <v/>
      </c>
      <c r="L114" s="70" t="str">
        <f>IF(Р2[[#This Row],[ГСИН]]&lt;=G108,"",CONCATENATE(Р2[[#Headers],[ГСИН]],": ",$C$114,"&lt;=",$C$108))</f>
        <v/>
      </c>
      <c r="M114" s="71"/>
    </row>
    <row r="115" spans="1:13" ht="20.100000000000001" customHeight="1" x14ac:dyDescent="0.25">
      <c r="A115" s="92"/>
      <c r="B115" s="96" t="s">
        <v>118</v>
      </c>
      <c r="C115" s="45">
        <v>112</v>
      </c>
      <c r="D115" s="143"/>
      <c r="E115" s="164">
        <v>9</v>
      </c>
      <c r="F115" s="143"/>
      <c r="G115" s="143"/>
      <c r="H115" s="118" t="str">
        <f>CONCATENATE(Р2[[#This Row],[Пр. ПРОК]]," ",Р2[[#This Row],[Пр. МВД]]," ",Р2[[#This Row],[Пр. ГКНБ]]," ",Р2[[#This Row],[Пр. ГСИН]])</f>
        <v xml:space="preserve">   </v>
      </c>
      <c r="I115" s="70"/>
      <c r="J115" s="70"/>
      <c r="K115" s="70"/>
      <c r="L115" s="70"/>
      <c r="M115" s="71"/>
    </row>
    <row r="116" spans="1:13" ht="20.100000000000001" customHeight="1" x14ac:dyDescent="0.25">
      <c r="A116" s="92"/>
      <c r="B116" s="96" t="s">
        <v>914</v>
      </c>
      <c r="C116" s="45">
        <v>113</v>
      </c>
      <c r="D116" s="143"/>
      <c r="E116" s="164">
        <v>83</v>
      </c>
      <c r="F116" s="143"/>
      <c r="G116" s="143"/>
      <c r="H116" s="118" t="str">
        <f>CONCATENATE(Р2[[#This Row],[Пр. ПРОК]]," ",Р2[[#This Row],[Пр. МВД]]," ",Р2[[#This Row],[Пр. ГКНБ]]," ",Р2[[#This Row],[Пр. ГСИН]])</f>
        <v xml:space="preserve">   </v>
      </c>
      <c r="I116" s="70"/>
      <c r="J116" s="70"/>
      <c r="K116" s="70"/>
      <c r="L116" s="70"/>
      <c r="M116" s="71"/>
    </row>
    <row r="117" spans="1:13" ht="20.100000000000001" customHeight="1" x14ac:dyDescent="0.25">
      <c r="A117" s="92"/>
      <c r="B117" s="96" t="s">
        <v>889</v>
      </c>
      <c r="C117" s="45">
        <v>114</v>
      </c>
      <c r="D117" s="143"/>
      <c r="E117" s="164">
        <v>1</v>
      </c>
      <c r="F117" s="143"/>
      <c r="G117" s="143"/>
      <c r="H117" s="118" t="str">
        <f>CONCATENATE(Р2[[#This Row],[Пр. ПРОК]]," ",Р2[[#This Row],[Пр. МВД]]," ",Р2[[#This Row],[Пр. ГКНБ]]," ",Р2[[#This Row],[Пр. ГСИН]])</f>
        <v xml:space="preserve">   </v>
      </c>
      <c r="I117" s="70"/>
      <c r="J117" s="70"/>
      <c r="K117" s="70"/>
      <c r="L117" s="70"/>
      <c r="M117" s="71"/>
    </row>
    <row r="118" spans="1:13" ht="20.100000000000001" customHeight="1" x14ac:dyDescent="0.25">
      <c r="A118" s="92"/>
      <c r="B118" s="139" t="s">
        <v>917</v>
      </c>
      <c r="C118" s="45">
        <v>115</v>
      </c>
      <c r="D118" s="141">
        <f>SUM(D119:D122)</f>
        <v>0</v>
      </c>
      <c r="E118" s="141">
        <f t="shared" ref="E118:G118" si="5">SUM(E119:E122)</f>
        <v>12</v>
      </c>
      <c r="F118" s="141">
        <f t="shared" si="5"/>
        <v>0</v>
      </c>
      <c r="G118" s="141">
        <f t="shared" si="5"/>
        <v>0</v>
      </c>
      <c r="H118" s="118" t="str">
        <f>CONCATENATE(Р2[[#This Row],[Пр. ПРОК]]," ",Р2[[#This Row],[Пр. МВД]]," ",Р2[[#This Row],[Пр. ГКНБ]]," ",Р2[[#This Row],[Пр. ГСИН]])</f>
        <v xml:space="preserve">   </v>
      </c>
      <c r="I118" s="70"/>
      <c r="J118" s="70"/>
      <c r="K118" s="70"/>
      <c r="L118" s="70"/>
      <c r="M118" s="71"/>
    </row>
    <row r="119" spans="1:13" ht="20.100000000000001" customHeight="1" x14ac:dyDescent="0.25">
      <c r="A119" s="92"/>
      <c r="B119" s="139" t="s">
        <v>891</v>
      </c>
      <c r="C119" s="45">
        <v>116</v>
      </c>
      <c r="D119" s="143"/>
      <c r="E119" s="164">
        <v>4</v>
      </c>
      <c r="F119" s="143"/>
      <c r="G119" s="143"/>
      <c r="H119" s="118" t="str">
        <f>CONCATENATE(Р2[[#This Row],[Пр. ПРОК]]," ",Р2[[#This Row],[Пр. МВД]]," ",Р2[[#This Row],[Пр. ГКНБ]]," ",Р2[[#This Row],[Пр. ГСИН]])</f>
        <v xml:space="preserve">   </v>
      </c>
      <c r="I119" s="70"/>
      <c r="J119" s="70"/>
      <c r="K119" s="70"/>
      <c r="L119" s="70"/>
      <c r="M119" s="71"/>
    </row>
    <row r="120" spans="1:13" ht="20.100000000000001" customHeight="1" x14ac:dyDescent="0.25">
      <c r="A120" s="92"/>
      <c r="B120" s="139" t="s">
        <v>892</v>
      </c>
      <c r="C120" s="45">
        <v>117</v>
      </c>
      <c r="D120" s="143"/>
      <c r="E120" s="164"/>
      <c r="F120" s="143"/>
      <c r="G120" s="143"/>
      <c r="H120" s="118" t="str">
        <f>CONCATENATE(Р2[[#This Row],[Пр. ПРОК]]," ",Р2[[#This Row],[Пр. МВД]]," ",Р2[[#This Row],[Пр. ГКНБ]]," ",Р2[[#This Row],[Пр. ГСИН]])</f>
        <v xml:space="preserve">   </v>
      </c>
      <c r="I120" s="70"/>
      <c r="J120" s="70"/>
      <c r="K120" s="70"/>
      <c r="L120" s="70"/>
      <c r="M120" s="71"/>
    </row>
    <row r="121" spans="1:13" ht="20.100000000000001" customHeight="1" x14ac:dyDescent="0.25">
      <c r="A121" s="92"/>
      <c r="B121" s="139" t="s">
        <v>893</v>
      </c>
      <c r="C121" s="45">
        <v>118</v>
      </c>
      <c r="D121" s="143"/>
      <c r="E121" s="164">
        <v>8</v>
      </c>
      <c r="F121" s="143"/>
      <c r="G121" s="143"/>
      <c r="H121" s="118" t="str">
        <f>CONCATENATE(Р2[[#This Row],[Пр. ПРОК]]," ",Р2[[#This Row],[Пр. МВД]]," ",Р2[[#This Row],[Пр. ГКНБ]]," ",Р2[[#This Row],[Пр. ГСИН]])</f>
        <v xml:space="preserve">   </v>
      </c>
      <c r="I121" s="70"/>
      <c r="J121" s="70"/>
      <c r="K121" s="70"/>
      <c r="L121" s="70"/>
      <c r="M121" s="71"/>
    </row>
    <row r="122" spans="1:13" ht="20.100000000000001" customHeight="1" x14ac:dyDescent="0.25">
      <c r="A122" s="92"/>
      <c r="B122" s="139" t="s">
        <v>894</v>
      </c>
      <c r="C122" s="45">
        <v>119</v>
      </c>
      <c r="D122" s="143"/>
      <c r="E122" s="164"/>
      <c r="F122" s="143"/>
      <c r="G122" s="143"/>
      <c r="H122" s="118" t="str">
        <f>CONCATENATE(Р2[[#This Row],[Пр. ПРОК]]," ",Р2[[#This Row],[Пр. МВД]]," ",Р2[[#This Row],[Пр. ГКНБ]]," ",Р2[[#This Row],[Пр. ГСИН]])</f>
        <v xml:space="preserve">   </v>
      </c>
      <c r="I122" s="70"/>
      <c r="J122" s="70"/>
      <c r="K122" s="70"/>
      <c r="L122" s="70"/>
      <c r="M122" s="71"/>
    </row>
    <row r="123" spans="1:13" ht="20.100000000000001" customHeight="1" x14ac:dyDescent="0.25">
      <c r="A123" s="92"/>
      <c r="B123" s="139" t="s">
        <v>909</v>
      </c>
      <c r="C123" s="45">
        <v>120</v>
      </c>
      <c r="D123" s="143"/>
      <c r="E123" s="164">
        <v>2</v>
      </c>
      <c r="F123" s="143"/>
      <c r="G123" s="143"/>
      <c r="H123" s="118" t="str">
        <f>CONCATENATE(Р2[[#This Row],[Пр. ПРОК]]," ",Р2[[#This Row],[Пр. МВД]]," ",Р2[[#This Row],[Пр. ГКНБ]]," ",Р2[[#This Row],[Пр. ГСИН]])</f>
        <v xml:space="preserve">   </v>
      </c>
      <c r="I123" s="70"/>
      <c r="J123" s="70"/>
      <c r="K123" s="70"/>
      <c r="L123" s="70"/>
      <c r="M123" s="71"/>
    </row>
    <row r="124" spans="1:13" ht="20.100000000000001" customHeight="1" x14ac:dyDescent="0.25">
      <c r="A124" s="92" t="s">
        <v>514</v>
      </c>
      <c r="B124" s="96" t="s">
        <v>523</v>
      </c>
      <c r="C124" s="45">
        <v>121</v>
      </c>
      <c r="D124" s="143"/>
      <c r="E124" s="164"/>
      <c r="F124" s="143"/>
      <c r="G124" s="143"/>
      <c r="H124" s="118" t="str">
        <f>CONCATENATE(Р2[[#This Row],[Пр. ПРОК]]," ",Р2[[#This Row],[Пр. МВД]]," ",Р2[[#This Row],[Пр. ГКНБ]]," ",Р2[[#This Row],[Пр. ГСИН]])</f>
        <v xml:space="preserve">   </v>
      </c>
      <c r="I124" s="70"/>
      <c r="J124" s="70"/>
      <c r="K124" s="70"/>
      <c r="L124" s="70"/>
      <c r="M124" s="71"/>
    </row>
    <row r="125" spans="1:13" ht="20.100000000000001" customHeight="1" x14ac:dyDescent="0.25">
      <c r="A125" s="92" t="s">
        <v>514</v>
      </c>
      <c r="B125" s="96" t="s">
        <v>524</v>
      </c>
      <c r="C125" s="45">
        <v>122</v>
      </c>
      <c r="D125" s="143"/>
      <c r="E125" s="164">
        <v>7</v>
      </c>
      <c r="F125" s="143"/>
      <c r="G125" s="143"/>
      <c r="H125" s="118" t="str">
        <f>CONCATENATE(Р2[[#This Row],[Пр. ПРОК]]," ",Р2[[#This Row],[Пр. МВД]]," ",Р2[[#This Row],[Пр. ГКНБ]]," ",Р2[[#This Row],[Пр. ГСИН]])</f>
        <v xml:space="preserve">   </v>
      </c>
      <c r="I125" s="70"/>
      <c r="J125" s="70"/>
      <c r="K125" s="70"/>
      <c r="L125" s="70"/>
      <c r="M125" s="71"/>
    </row>
    <row r="126" spans="1:13" ht="20.100000000000001" customHeight="1" x14ac:dyDescent="0.25">
      <c r="A126" s="91" t="s">
        <v>515</v>
      </c>
      <c r="B126" s="146" t="s">
        <v>506</v>
      </c>
      <c r="C126" s="45">
        <v>123</v>
      </c>
      <c r="D126" s="145"/>
      <c r="E126" s="145"/>
      <c r="F126" s="145"/>
      <c r="G126" s="145"/>
      <c r="H126" s="118" t="str">
        <f>CONCATENATE(Р2[[#This Row],[Пр. ПРОК]]," ",Р2[[#This Row],[Пр. МВД]]," ",Р2[[#This Row],[Пр. ГКНБ]]," ",Р2[[#This Row],[Пр. ГСИН]])</f>
        <v xml:space="preserve">   </v>
      </c>
      <c r="I126" s="70"/>
      <c r="J126" s="70"/>
      <c r="K126" s="70"/>
      <c r="L126" s="70"/>
      <c r="M126" s="71"/>
    </row>
    <row r="127" spans="1:13" ht="20.100000000000001" customHeight="1" x14ac:dyDescent="0.25">
      <c r="A127" s="92" t="s">
        <v>515</v>
      </c>
      <c r="B127" s="93" t="s">
        <v>82</v>
      </c>
      <c r="C127" s="45">
        <v>124</v>
      </c>
      <c r="D127" s="141">
        <f>SUM(D130:D133)</f>
        <v>0</v>
      </c>
      <c r="E127" s="141">
        <f t="shared" ref="E127:G127" si="6">SUM(E130:E133)</f>
        <v>2611</v>
      </c>
      <c r="F127" s="141">
        <f t="shared" si="6"/>
        <v>0</v>
      </c>
      <c r="G127" s="141">
        <f t="shared" si="6"/>
        <v>0</v>
      </c>
      <c r="H127" s="119" t="str">
        <f>CONCATENATE(Р2[[#This Row],[Пр. ПРОК]]," ",Р2[[#This Row],[Пр. МВД]]," ",Р2[[#This Row],[Пр. ГКНБ]]," ",Р2[[#This Row],[Пр. ГСИН]])</f>
        <v xml:space="preserve">   </v>
      </c>
      <c r="I127" s="77" t="str">
        <f>IF(Р2[[#This Row],[Прокуратура]]&gt;=(D128+D129),"",CONCATENATE("Прок: ",$C$127,"&gt;=(",$C$128,"+",$C$129,")"))</f>
        <v/>
      </c>
      <c r="J127" s="80" t="str">
        <f>IF(Р2[[#This Row],[МВД]]&gt;=(E128+E129),"",CONCATENATE(Р2[[#Headers],[МВД]],": ",$C$127,"&gt;=(",$C$128,"+",$C$129,")"))</f>
        <v/>
      </c>
      <c r="K127" s="80" t="str">
        <f>IF(Р2[[#This Row],[ГКНБ]]&gt;=(F128+F129),"",CONCATENATE(Р2[[#Headers],[ГКНБ]],": ",$C$127,"&gt;=(",$C$128,"+",$C$129,")"))</f>
        <v/>
      </c>
      <c r="L127" s="80" t="str">
        <f>IF(Р2[[#This Row],[ГСИН]]&gt;=(G128+G129),"",CONCATENATE(Р2[[#Headers],[ГСИН]],": ",$C$127,"&gt;=(",$C$128,"+",$C$129,")"))</f>
        <v/>
      </c>
      <c r="M127" s="71"/>
    </row>
    <row r="128" spans="1:13" ht="20.100000000000001" customHeight="1" x14ac:dyDescent="0.25">
      <c r="A128" s="92" t="s">
        <v>515</v>
      </c>
      <c r="B128" s="96" t="s">
        <v>70</v>
      </c>
      <c r="C128" s="45">
        <v>125</v>
      </c>
      <c r="D128" s="143"/>
      <c r="E128" s="167">
        <v>38</v>
      </c>
      <c r="F128" s="143"/>
      <c r="G128" s="143"/>
      <c r="H128" s="118" t="str">
        <f>CONCATENATE(Р2[[#This Row],[Пр. ПРОК]]," ",Р2[[#This Row],[Пр. МВД]]," ",Р2[[#This Row],[Пр. ГКНБ]]," ",Р2[[#This Row],[Пр. ГСИН]])</f>
        <v xml:space="preserve">   </v>
      </c>
      <c r="I128" s="70"/>
      <c r="J128" s="70"/>
      <c r="K128" s="70"/>
      <c r="L128" s="70"/>
      <c r="M128" s="71"/>
    </row>
    <row r="129" spans="1:13" ht="20.100000000000001" customHeight="1" x14ac:dyDescent="0.25">
      <c r="A129" s="92" t="s">
        <v>515</v>
      </c>
      <c r="B129" s="96" t="s">
        <v>830</v>
      </c>
      <c r="C129" s="45">
        <v>126</v>
      </c>
      <c r="D129" s="143"/>
      <c r="E129" s="167">
        <v>11</v>
      </c>
      <c r="F129" s="143"/>
      <c r="G129" s="143"/>
      <c r="H129" s="118" t="str">
        <f>CONCATENATE(Р2[[#This Row],[Пр. ПРОК]]," ",Р2[[#This Row],[Пр. МВД]]," ",Р2[[#This Row],[Пр. ГКНБ]]," ",Р2[[#This Row],[Пр. ГСИН]])</f>
        <v xml:space="preserve">   </v>
      </c>
      <c r="I129" s="70"/>
      <c r="J129" s="70"/>
      <c r="K129" s="70"/>
      <c r="L129" s="70"/>
      <c r="M129" s="71"/>
    </row>
    <row r="130" spans="1:13" ht="20.100000000000001" customHeight="1" x14ac:dyDescent="0.25">
      <c r="A130" s="92" t="s">
        <v>515</v>
      </c>
      <c r="B130" s="98" t="s">
        <v>81</v>
      </c>
      <c r="C130" s="45">
        <v>127</v>
      </c>
      <c r="D130" s="143"/>
      <c r="E130" s="164">
        <v>70</v>
      </c>
      <c r="F130" s="143"/>
      <c r="G130" s="143"/>
      <c r="H130" s="118" t="str">
        <f>CONCATENATE(Р2[[#This Row],[Пр. ПРОК]]," ",Р2[[#This Row],[Пр. МВД]]," ",Р2[[#This Row],[Пр. ГКНБ]]," ",Р2[[#This Row],[Пр. ГСИН]])</f>
        <v xml:space="preserve">   </v>
      </c>
      <c r="I130" s="70"/>
      <c r="J130" s="70"/>
      <c r="K130" s="70"/>
      <c r="L130" s="70"/>
      <c r="M130" s="71"/>
    </row>
    <row r="131" spans="1:13" ht="20.100000000000001" customHeight="1" x14ac:dyDescent="0.25">
      <c r="A131" s="92" t="s">
        <v>515</v>
      </c>
      <c r="B131" s="95" t="s">
        <v>80</v>
      </c>
      <c r="C131" s="45">
        <v>128</v>
      </c>
      <c r="D131" s="143"/>
      <c r="E131" s="164"/>
      <c r="F131" s="143"/>
      <c r="G131" s="143"/>
      <c r="H131" s="118" t="str">
        <f>CONCATENATE(Р2[[#This Row],[Пр. ПРОК]]," ",Р2[[#This Row],[Пр. МВД]]," ",Р2[[#This Row],[Пр. ГКНБ]]," ",Р2[[#This Row],[Пр. ГСИН]])</f>
        <v xml:space="preserve">   </v>
      </c>
      <c r="I131" s="70"/>
      <c r="J131" s="70"/>
      <c r="K131" s="70"/>
      <c r="L131" s="70"/>
      <c r="M131" s="71"/>
    </row>
    <row r="132" spans="1:13" ht="20.100000000000001" customHeight="1" x14ac:dyDescent="0.25">
      <c r="A132" s="92" t="s">
        <v>515</v>
      </c>
      <c r="B132" s="95" t="s">
        <v>79</v>
      </c>
      <c r="C132" s="45">
        <v>129</v>
      </c>
      <c r="D132" s="143"/>
      <c r="E132" s="164">
        <v>2540</v>
      </c>
      <c r="F132" s="143"/>
      <c r="G132" s="143"/>
      <c r="H132" s="118" t="str">
        <f>CONCATENATE(Р2[[#This Row],[Пр. ПРОК]]," ",Р2[[#This Row],[Пр. МВД]]," ",Р2[[#This Row],[Пр. ГКНБ]]," ",Р2[[#This Row],[Пр. ГСИН]])</f>
        <v xml:space="preserve">   </v>
      </c>
      <c r="I132" s="70"/>
      <c r="J132" s="70"/>
      <c r="K132" s="70"/>
      <c r="L132" s="70"/>
      <c r="M132" s="71"/>
    </row>
    <row r="133" spans="1:13" ht="20.100000000000001" customHeight="1" x14ac:dyDescent="0.25">
      <c r="A133" s="92" t="s">
        <v>515</v>
      </c>
      <c r="B133" s="95" t="s">
        <v>78</v>
      </c>
      <c r="C133" s="45">
        <v>130</v>
      </c>
      <c r="D133" s="143"/>
      <c r="E133" s="164">
        <v>1</v>
      </c>
      <c r="F133" s="143"/>
      <c r="G133" s="143"/>
      <c r="H133" s="118" t="str">
        <f>CONCATENATE(Р2[[#This Row],[Пр. ПРОК]]," ",Р2[[#This Row],[Пр. МВД]]," ",Р2[[#This Row],[Пр. ГКНБ]]," ",Р2[[#This Row],[Пр. ГСИН]])</f>
        <v xml:space="preserve">   </v>
      </c>
      <c r="I133" s="70"/>
      <c r="J133" s="70"/>
      <c r="K133" s="70"/>
      <c r="L133" s="70"/>
      <c r="M133" s="71"/>
    </row>
    <row r="134" spans="1:13" ht="20.100000000000001" customHeight="1" x14ac:dyDescent="0.25">
      <c r="A134" s="92" t="s">
        <v>515</v>
      </c>
      <c r="B134" s="98" t="s">
        <v>77</v>
      </c>
      <c r="C134" s="45">
        <v>131</v>
      </c>
      <c r="D134" s="143"/>
      <c r="E134" s="164">
        <v>28</v>
      </c>
      <c r="F134" s="143"/>
      <c r="G134" s="143"/>
      <c r="H134" s="119" t="str">
        <f>CONCATENATE(Р2[[#This Row],[Пр. ПРОК]]," ",Р2[[#This Row],[Пр. МВД]]," ",Р2[[#This Row],[Пр. ГКНБ]]," ",Р2[[#This Row],[Пр. ГСИН]])</f>
        <v xml:space="preserve">   </v>
      </c>
      <c r="I134" s="77" t="str">
        <f>IF(Р2[[#This Row],[Прокуратура]]&lt;=D130,"",CONCATENATE("Прок: ",$C$134,"&lt;=",$C$130))</f>
        <v/>
      </c>
      <c r="J134" s="77" t="str">
        <f>IF(Р2[[#This Row],[МВД]]&lt;=E130,"",CONCATENATE(Р2[[#Headers],[МВД]],": ",$C$134,"&lt;=",$C$130))</f>
        <v/>
      </c>
      <c r="K134" s="77" t="str">
        <f>IF(Р2[[#This Row],[ГКНБ]]&lt;=F130,"",CONCATENATE(Р2[[#Headers],[ГКНБ]],": ",$C$134,"&lt;=",$C$130))</f>
        <v/>
      </c>
      <c r="L134" s="77" t="str">
        <f>IF(Р2[[#This Row],[ГСИН]]&lt;=G130,"",CONCATENATE(Р2[[#Headers],[ГСИН]],": ",$C$134,"&lt;=",$C$130))</f>
        <v/>
      </c>
      <c r="M134" s="71"/>
    </row>
    <row r="135" spans="1:13" ht="20.100000000000001" customHeight="1" x14ac:dyDescent="0.25">
      <c r="A135" s="92" t="s">
        <v>515</v>
      </c>
      <c r="B135" s="95" t="s">
        <v>76</v>
      </c>
      <c r="C135" s="45">
        <v>132</v>
      </c>
      <c r="D135" s="143"/>
      <c r="E135" s="164"/>
      <c r="F135" s="143"/>
      <c r="G135" s="143"/>
      <c r="H135" s="119" t="str">
        <f>CONCATENATE(Р2[[#This Row],[Пр. ПРОК]]," ",Р2[[#This Row],[Пр. МВД]]," ",Р2[[#This Row],[Пр. ГКНБ]]," ",Р2[[#This Row],[Пр. ГСИН]])</f>
        <v xml:space="preserve">   </v>
      </c>
      <c r="I135" s="77" t="str">
        <f>IF(Р2[[#This Row],[Прокуратура]]&lt;=D131,"",CONCATENATE("Прок: ",$C$135,"&lt;=",$C$131))</f>
        <v/>
      </c>
      <c r="J135" s="77" t="str">
        <f>IF(Р2[[#This Row],[МВД]]&lt;=E131,"",CONCATENATE(Р2[[#Headers],[МВД]],": ",$C$135,"&lt;=",$C$131))</f>
        <v/>
      </c>
      <c r="K135" s="77" t="str">
        <f>IF(Р2[[#This Row],[ГКНБ]]&lt;=F131,"",CONCATENATE(Р2[[#Headers],[ГКНБ]],": ",$C$135,"&lt;=",$C$131))</f>
        <v/>
      </c>
      <c r="L135" s="77" t="str">
        <f>IF(Р2[[#This Row],[ГСИН]]&lt;=G131,"",CONCATENATE(Р2[[#Headers],[ГКНБ]],": ",$C$135,"&lt;=",$C$131))</f>
        <v/>
      </c>
      <c r="M135" s="71"/>
    </row>
    <row r="136" spans="1:13" ht="20.100000000000001" customHeight="1" x14ac:dyDescent="0.25">
      <c r="A136" s="92" t="s">
        <v>515</v>
      </c>
      <c r="B136" s="95" t="s">
        <v>75</v>
      </c>
      <c r="C136" s="45">
        <v>133</v>
      </c>
      <c r="D136" s="143"/>
      <c r="E136" s="164">
        <v>149</v>
      </c>
      <c r="F136" s="143"/>
      <c r="G136" s="143"/>
      <c r="H136" s="119" t="str">
        <f>CONCATENATE(Р2[[#This Row],[Пр. ПРОК]]," ",Р2[[#This Row],[Пр. МВД]]," ",Р2[[#This Row],[Пр. ГКНБ]]," ",Р2[[#This Row],[Пр. ГСИН]])</f>
        <v xml:space="preserve">   </v>
      </c>
      <c r="I136" s="77" t="str">
        <f>IF(Р2[[#This Row],[Прокуратура]]&lt;=D132,"",CONCATENATE("Прок: ",$C$136,"&lt;=",$C$132))</f>
        <v/>
      </c>
      <c r="J136" s="77" t="str">
        <f>IF(Р2[[#This Row],[МВД]]&lt;=E132,"",CONCATENATE(Р2[[#Headers],[МВД]],": ",$C$136,"&lt;=",$C$132))</f>
        <v/>
      </c>
      <c r="K136" s="77" t="str">
        <f>IF(Р2[[#This Row],[ГКНБ]]&lt;=F132,"",CONCATENATE(Р2[[#Headers],[ГКНБ]],": ",$C$136,"&lt;=",$C$132))</f>
        <v/>
      </c>
      <c r="L136" s="77" t="str">
        <f>IF(Р2[[#This Row],[ГСИН]]&lt;=G132,"",CONCATENATE(Р2[[#Headers],[ГСИН]],": ",$C$136,"&lt;=",$C$132))</f>
        <v/>
      </c>
      <c r="M136" s="71"/>
    </row>
    <row r="137" spans="1:13" ht="20.100000000000001" customHeight="1" x14ac:dyDescent="0.25">
      <c r="A137" s="92" t="s">
        <v>515</v>
      </c>
      <c r="B137" s="95" t="s">
        <v>74</v>
      </c>
      <c r="C137" s="45">
        <v>134</v>
      </c>
      <c r="D137" s="143"/>
      <c r="E137" s="164"/>
      <c r="F137" s="143"/>
      <c r="G137" s="143"/>
      <c r="H137" s="119" t="str">
        <f>CONCATENATE(Р2[[#This Row],[Пр. ПРОК]]," ",Р2[[#This Row],[Пр. МВД]]," ",Р2[[#This Row],[Пр. ГКНБ]]," ",Р2[[#This Row],[Пр. ГСИН]])</f>
        <v xml:space="preserve">   </v>
      </c>
      <c r="I137" s="77" t="str">
        <f>IF(Р2[[#This Row],[Прокуратура]]&lt;=D133,"",CONCATENATE("Прок: ",$C$137,"&lt;=",$C$133))</f>
        <v/>
      </c>
      <c r="J137" s="77" t="str">
        <f>IF(Р2[[#This Row],[МВД]]&lt;=E133,"",CONCATENATE(Р2[[#Headers],[МВД]],": ",$C$137,"&lt;=",$C$133))</f>
        <v/>
      </c>
      <c r="K137" s="77" t="str">
        <f>IF(Р2[[#This Row],[ГКНБ]]&lt;=F133,"",CONCATENATE(Р2[[#Headers],[ГКНБ]],": ",$C$137,"&lt;=",$C$133))</f>
        <v/>
      </c>
      <c r="L137" s="77" t="str">
        <f>IF(Р2[[#This Row],[ГСИН]]&lt;=G133,"",CONCATENATE(Р2[[#Headers],[ГСИН]],": ",$C$137,"&lt;=",$C$133))</f>
        <v/>
      </c>
      <c r="M137" s="71"/>
    </row>
    <row r="138" spans="1:13" ht="20.100000000000001" customHeight="1" x14ac:dyDescent="0.25">
      <c r="A138" s="92" t="s">
        <v>515</v>
      </c>
      <c r="B138" s="95" t="s">
        <v>915</v>
      </c>
      <c r="C138" s="45">
        <v>135</v>
      </c>
      <c r="D138" s="143"/>
      <c r="E138" s="164">
        <v>2534</v>
      </c>
      <c r="F138" s="143"/>
      <c r="G138" s="143"/>
      <c r="H138" s="119" t="str">
        <f>CONCATENATE(Р2[[#This Row],[Пр. ПРОК]]," ",Р2[[#This Row],[Пр. МВД]]," ",Р2[[#This Row],[Пр. ГКНБ]]," ",Р2[[#This Row],[Пр. ГСИН]])</f>
        <v xml:space="preserve">   </v>
      </c>
      <c r="I138" s="77" t="str">
        <f>IF(Р2[[#This Row],[Прокуратура]]&lt;=D127,"",CONCATENATE("Прок: ",$C$138,"&lt;=",$C$127))</f>
        <v/>
      </c>
      <c r="J138" s="77" t="str">
        <f>IF(Р2[[#This Row],[МВД]]&lt;=E127,"",CONCATENATE(Р2[[#Headers],[МВД]],": ",$C$138,"&lt;=",$C$127))</f>
        <v/>
      </c>
      <c r="K138" s="77" t="str">
        <f>IF(Р2[[#This Row],[ГКНБ]]&lt;=F127,"",CONCATENATE(Р2[[#Headers],[ГКНБ]],": ",$C$138,"&lt;=",$C$127))</f>
        <v/>
      </c>
      <c r="L138" s="77" t="str">
        <f>IF(Р2[[#This Row],[ГСИН]]&lt;=G127,"",CONCATENATE(Р2[[#Headers],[ГСИН]],": ",$C$138,"&lt;=",$C$127))</f>
        <v/>
      </c>
      <c r="M138" s="71"/>
    </row>
    <row r="139" spans="1:13" ht="20.100000000000001" customHeight="1" x14ac:dyDescent="0.25">
      <c r="A139" s="92"/>
      <c r="B139" s="96" t="s">
        <v>118</v>
      </c>
      <c r="C139" s="45">
        <v>136</v>
      </c>
      <c r="D139" s="143"/>
      <c r="E139" s="164">
        <v>67</v>
      </c>
      <c r="F139" s="143"/>
      <c r="G139" s="143"/>
      <c r="H139" s="118" t="str">
        <f>CONCATENATE(Р2[[#This Row],[Пр. ПРОК]]," ",Р2[[#This Row],[Пр. МВД]]," ",Р2[[#This Row],[Пр. ГКНБ]]," ",Р2[[#This Row],[Пр. ГСИН]])</f>
        <v xml:space="preserve">   </v>
      </c>
      <c r="I139" s="70"/>
      <c r="J139" s="70"/>
      <c r="K139" s="70"/>
      <c r="L139" s="70"/>
      <c r="M139" s="71"/>
    </row>
    <row r="140" spans="1:13" ht="20.100000000000001" customHeight="1" x14ac:dyDescent="0.25">
      <c r="A140" s="92"/>
      <c r="B140" s="96" t="s">
        <v>888</v>
      </c>
      <c r="C140" s="45">
        <v>137</v>
      </c>
      <c r="D140" s="143"/>
      <c r="E140" s="164">
        <v>2467</v>
      </c>
      <c r="F140" s="143"/>
      <c r="G140" s="143"/>
      <c r="H140" s="118" t="str">
        <f>CONCATENATE(Р2[[#This Row],[Пр. ПРОК]]," ",Р2[[#This Row],[Пр. МВД]]," ",Р2[[#This Row],[Пр. ГКНБ]]," ",Р2[[#This Row],[Пр. ГСИН]])</f>
        <v xml:space="preserve">   </v>
      </c>
      <c r="I140" s="70"/>
      <c r="J140" s="70"/>
      <c r="K140" s="70"/>
      <c r="L140" s="70"/>
      <c r="M140" s="71"/>
    </row>
    <row r="141" spans="1:13" ht="20.100000000000001" customHeight="1" x14ac:dyDescent="0.25">
      <c r="A141" s="92"/>
      <c r="B141" s="96" t="s">
        <v>889</v>
      </c>
      <c r="C141" s="45">
        <v>138</v>
      </c>
      <c r="D141" s="143"/>
      <c r="E141" s="164">
        <v>18</v>
      </c>
      <c r="F141" s="143"/>
      <c r="G141" s="143"/>
      <c r="H141" s="118" t="str">
        <f>CONCATENATE(Р2[[#This Row],[Пр. ПРОК]]," ",Р2[[#This Row],[Пр. МВД]]," ",Р2[[#This Row],[Пр. ГКНБ]]," ",Р2[[#This Row],[Пр. ГСИН]])</f>
        <v xml:space="preserve">   </v>
      </c>
      <c r="I141" s="70"/>
      <c r="J141" s="70"/>
      <c r="K141" s="70"/>
      <c r="L141" s="70"/>
      <c r="M141" s="71"/>
    </row>
    <row r="142" spans="1:13" ht="20.100000000000001" customHeight="1" x14ac:dyDescent="0.25">
      <c r="A142" s="92"/>
      <c r="B142" s="139" t="s">
        <v>890</v>
      </c>
      <c r="C142" s="45">
        <v>139</v>
      </c>
      <c r="D142" s="144">
        <f>SUM(D143:D146)</f>
        <v>0</v>
      </c>
      <c r="E142" s="144">
        <f t="shared" ref="E142:F142" si="7">SUM(E143:E146)</f>
        <v>49</v>
      </c>
      <c r="F142" s="144">
        <f t="shared" si="7"/>
        <v>0</v>
      </c>
      <c r="G142" s="144">
        <f>SUM(G143:G146)</f>
        <v>0</v>
      </c>
      <c r="H142" s="118" t="str">
        <f>CONCATENATE(Р2[[#This Row],[Пр. ПРОК]]," ",Р2[[#This Row],[Пр. МВД]]," ",Р2[[#This Row],[Пр. ГКНБ]]," ",Р2[[#This Row],[Пр. ГСИН]])</f>
        <v xml:space="preserve">   </v>
      </c>
      <c r="I142" s="70"/>
      <c r="J142" s="70"/>
      <c r="K142" s="70"/>
      <c r="L142" s="70"/>
      <c r="M142" s="71"/>
    </row>
    <row r="143" spans="1:13" ht="20.100000000000001" customHeight="1" x14ac:dyDescent="0.25">
      <c r="A143" s="92"/>
      <c r="B143" s="139" t="s">
        <v>891</v>
      </c>
      <c r="C143" s="45">
        <v>140</v>
      </c>
      <c r="D143" s="143"/>
      <c r="E143" s="164">
        <v>7</v>
      </c>
      <c r="F143" s="143"/>
      <c r="G143" s="143"/>
      <c r="H143" s="118" t="str">
        <f>CONCATENATE(Р2[[#This Row],[Пр. ПРОК]]," ",Р2[[#This Row],[Пр. МВД]]," ",Р2[[#This Row],[Пр. ГКНБ]]," ",Р2[[#This Row],[Пр. ГСИН]])</f>
        <v xml:space="preserve">   </v>
      </c>
      <c r="I143" s="70"/>
      <c r="J143" s="70"/>
      <c r="K143" s="70"/>
      <c r="L143" s="70"/>
      <c r="M143" s="71"/>
    </row>
    <row r="144" spans="1:13" ht="20.100000000000001" customHeight="1" x14ac:dyDescent="0.25">
      <c r="A144" s="92"/>
      <c r="B144" s="139" t="s">
        <v>892</v>
      </c>
      <c r="C144" s="45">
        <v>141</v>
      </c>
      <c r="D144" s="143"/>
      <c r="E144" s="164"/>
      <c r="F144" s="143"/>
      <c r="G144" s="143"/>
      <c r="H144" s="118" t="str">
        <f>CONCATENATE(Р2[[#This Row],[Пр. ПРОК]]," ",Р2[[#This Row],[Пр. МВД]]," ",Р2[[#This Row],[Пр. ГКНБ]]," ",Р2[[#This Row],[Пр. ГСИН]])</f>
        <v xml:space="preserve">   </v>
      </c>
      <c r="I144" s="70"/>
      <c r="J144" s="70"/>
      <c r="K144" s="70"/>
      <c r="L144" s="70"/>
      <c r="M144" s="71"/>
    </row>
    <row r="145" spans="1:13" ht="20.100000000000001" customHeight="1" x14ac:dyDescent="0.25">
      <c r="A145" s="92"/>
      <c r="B145" s="139" t="s">
        <v>893</v>
      </c>
      <c r="C145" s="45">
        <v>142</v>
      </c>
      <c r="D145" s="143"/>
      <c r="E145" s="164">
        <v>42</v>
      </c>
      <c r="F145" s="143"/>
      <c r="G145" s="143"/>
      <c r="H145" s="118" t="str">
        <f>CONCATENATE(Р2[[#This Row],[Пр. ПРОК]]," ",Р2[[#This Row],[Пр. МВД]]," ",Р2[[#This Row],[Пр. ГКНБ]]," ",Р2[[#This Row],[Пр. ГСИН]])</f>
        <v xml:space="preserve">   </v>
      </c>
      <c r="I145" s="70"/>
      <c r="J145" s="70"/>
      <c r="K145" s="70"/>
      <c r="L145" s="70"/>
      <c r="M145" s="71"/>
    </row>
    <row r="146" spans="1:13" ht="20.100000000000001" customHeight="1" x14ac:dyDescent="0.25">
      <c r="A146" s="92"/>
      <c r="B146" s="139" t="s">
        <v>894</v>
      </c>
      <c r="C146" s="45">
        <v>143</v>
      </c>
      <c r="D146" s="143"/>
      <c r="E146" s="164"/>
      <c r="F146" s="143"/>
      <c r="G146" s="143"/>
      <c r="H146" s="118" t="str">
        <f>CONCATENATE(Р2[[#This Row],[Пр. ПРОК]]," ",Р2[[#This Row],[Пр. МВД]]," ",Р2[[#This Row],[Пр. ГКНБ]]," ",Р2[[#This Row],[Пр. ГСИН]])</f>
        <v xml:space="preserve">   </v>
      </c>
      <c r="I146" s="70"/>
      <c r="J146" s="70"/>
      <c r="K146" s="70"/>
      <c r="L146" s="70"/>
      <c r="M146" s="71"/>
    </row>
    <row r="147" spans="1:13" ht="20.100000000000001" customHeight="1" x14ac:dyDescent="0.25">
      <c r="A147" s="92"/>
      <c r="B147" s="139" t="s">
        <v>911</v>
      </c>
      <c r="C147" s="45">
        <v>144</v>
      </c>
      <c r="D147" s="143"/>
      <c r="E147" s="164">
        <v>10</v>
      </c>
      <c r="F147" s="143"/>
      <c r="G147" s="143"/>
      <c r="H147" s="118" t="str">
        <f>CONCATENATE(Р2[[#This Row],[Пр. ПРОК]]," ",Р2[[#This Row],[Пр. МВД]]," ",Р2[[#This Row],[Пр. ГКНБ]]," ",Р2[[#This Row],[Пр. ГСИН]])</f>
        <v xml:space="preserve">   </v>
      </c>
      <c r="I147" s="70"/>
      <c r="J147" s="70"/>
      <c r="K147" s="70"/>
      <c r="L147" s="70"/>
      <c r="M147" s="71"/>
    </row>
    <row r="148" spans="1:13" ht="20.100000000000001" customHeight="1" x14ac:dyDescent="0.25">
      <c r="A148" s="92" t="s">
        <v>515</v>
      </c>
      <c r="B148" s="93" t="s">
        <v>533</v>
      </c>
      <c r="C148" s="45">
        <v>145</v>
      </c>
      <c r="D148" s="141">
        <f>SUM(D149:D151)</f>
        <v>0</v>
      </c>
      <c r="E148" s="141">
        <f t="shared" ref="E148:G148" si="8">SUM(E149:E151)</f>
        <v>171</v>
      </c>
      <c r="F148" s="141">
        <f t="shared" si="8"/>
        <v>0</v>
      </c>
      <c r="G148" s="141">
        <f t="shared" si="8"/>
        <v>0</v>
      </c>
      <c r="H148" s="119" t="str">
        <f>CONCATENATE(Р2[[#This Row],[Пр. ПРОК]]," ",Р2[[#This Row],[Пр. МВД]]," ",Р2[[#This Row],[Пр. ГКНБ]]," ",Р2[[#This Row],[Пр. ГСИН]])</f>
        <v xml:space="preserve">       </v>
      </c>
      <c r="I148" s="80" t="str">
        <f>CONCATENATE(IF(Р2[[#This Row],[Прокуратура]]&gt;=(D152+D153),"",CONCATENATE("Прок: ",$C$148,"&gt;=(",$C$152,"+",$C$153,")"))," ",IF(Р2[[#This Row],[Прокуратура]]=SUM(D154:D157),"",CONCATENATE("Прок: ",$C$148,"=(",$C$154,"+",$C$155,"+",$C$156,"+",$C$157,")")))</f>
        <v xml:space="preserve"> </v>
      </c>
      <c r="J148" s="80" t="str">
        <f>CONCATENATE(IF(Р2[[#This Row],[МВД]]&gt;=(E152+E153),"",CONCATENATE("МВД: ",$C$148,"&gt;=(",$C$152,"+",$C$153,")"))," ",IF(Р2[[#This Row],[МВД]]=SUM(E154:E157),"",CONCATENATE("МВД: ",$C$148,"=(",$C$154,"+",$C$155,"+",$C$156,"+",$C$157,")")))</f>
        <v xml:space="preserve"> </v>
      </c>
      <c r="K148" s="80" t="str">
        <f>CONCATENATE(IF(Р2[[#This Row],[ГКНБ]]&gt;=(F152+F153),"",CONCATENATE("ГКНБ: ",$C$148,"&gt;=(",$C$152,"+",$C$153,")"))," ",IF(Р2[[#This Row],[ГКНБ]]=SUM(F154:F157),"",CONCATENATE("ГКНБ: ",$C$148,"=(",$C$154,"+",$C$155,"+",$C$156,"+",$C$157,")")))</f>
        <v xml:space="preserve"> </v>
      </c>
      <c r="L148" s="80" t="str">
        <f>CONCATENATE(IF(Р2[[#This Row],[ГСИН]]&gt;=(G152+G153),"",CONCATENATE("ГСИН: ",$C$148,"&gt;=(",$C$152,"+",$C$153,")"))," ",IF(Р2[[#This Row],[ГСИН]]=SUM(G154:G157),"",CONCATENATE("ГСИН: ",$C$148,"=(",$C$154,"+",$C$155,"+",$C$156,"+",$C$157,")")))</f>
        <v xml:space="preserve"> </v>
      </c>
      <c r="M148" s="71"/>
    </row>
    <row r="149" spans="1:13" ht="20.100000000000001" customHeight="1" x14ac:dyDescent="0.25">
      <c r="A149" s="92" t="s">
        <v>515</v>
      </c>
      <c r="B149" s="95" t="s">
        <v>73</v>
      </c>
      <c r="C149" s="45">
        <v>146</v>
      </c>
      <c r="D149" s="143"/>
      <c r="E149" s="164"/>
      <c r="F149" s="143"/>
      <c r="G149" s="143"/>
      <c r="H149" s="118" t="str">
        <f>CONCATENATE(Р2[[#This Row],[Пр. ПРОК]]," ",Р2[[#This Row],[Пр. МВД]]," ",Р2[[#This Row],[Пр. ГКНБ]]," ",Р2[[#This Row],[Пр. ГСИН]])</f>
        <v xml:space="preserve">   </v>
      </c>
      <c r="I149" s="70"/>
      <c r="J149" s="70"/>
      <c r="K149" s="70"/>
      <c r="L149" s="70"/>
      <c r="M149" s="71"/>
    </row>
    <row r="150" spans="1:13" ht="20.100000000000001" customHeight="1" x14ac:dyDescent="0.25">
      <c r="A150" s="92" t="s">
        <v>515</v>
      </c>
      <c r="B150" s="95" t="s">
        <v>72</v>
      </c>
      <c r="C150" s="45">
        <v>147</v>
      </c>
      <c r="D150" s="143"/>
      <c r="E150" s="164">
        <v>171</v>
      </c>
      <c r="F150" s="143"/>
      <c r="G150" s="143"/>
      <c r="H150" s="118" t="str">
        <f>CONCATENATE(Р2[[#This Row],[Пр. ПРОК]]," ",Р2[[#This Row],[Пр. МВД]]," ",Р2[[#This Row],[Пр. ГКНБ]]," ",Р2[[#This Row],[Пр. ГСИН]])</f>
        <v xml:space="preserve">   </v>
      </c>
      <c r="I150" s="70"/>
      <c r="J150" s="70"/>
      <c r="K150" s="70"/>
      <c r="L150" s="70"/>
      <c r="M150" s="71"/>
    </row>
    <row r="151" spans="1:13" ht="20.100000000000001" customHeight="1" x14ac:dyDescent="0.25">
      <c r="A151" s="92" t="s">
        <v>515</v>
      </c>
      <c r="B151" s="95" t="s">
        <v>71</v>
      </c>
      <c r="C151" s="45">
        <v>148</v>
      </c>
      <c r="D151" s="143"/>
      <c r="E151" s="164"/>
      <c r="F151" s="143"/>
      <c r="G151" s="143"/>
      <c r="H151" s="118" t="str">
        <f>CONCATENATE(Р2[[#This Row],[Пр. ПРОК]]," ",Р2[[#This Row],[Пр. МВД]]," ",Р2[[#This Row],[Пр. ГКНБ]]," ",Р2[[#This Row],[Пр. ГСИН]])</f>
        <v xml:space="preserve">   </v>
      </c>
      <c r="I151" s="70"/>
      <c r="J151" s="70"/>
      <c r="K151" s="70"/>
      <c r="L151" s="70"/>
      <c r="M151" s="71"/>
    </row>
    <row r="152" spans="1:13" ht="20.100000000000001" customHeight="1" x14ac:dyDescent="0.25">
      <c r="A152" s="92" t="s">
        <v>515</v>
      </c>
      <c r="B152" s="96" t="s">
        <v>70</v>
      </c>
      <c r="C152" s="45">
        <v>149</v>
      </c>
      <c r="D152" s="143"/>
      <c r="E152" s="167">
        <v>9</v>
      </c>
      <c r="F152" s="143"/>
      <c r="G152" s="143"/>
      <c r="H152" s="118" t="str">
        <f>CONCATENATE(Р2[[#This Row],[Пр. ПРОК]]," ",Р2[[#This Row],[Пр. МВД]]," ",Р2[[#This Row],[Пр. ГКНБ]]," ",Р2[[#This Row],[Пр. ГСИН]])</f>
        <v xml:space="preserve">   </v>
      </c>
      <c r="I152" s="70"/>
      <c r="J152" s="70"/>
      <c r="K152" s="70"/>
      <c r="L152" s="70"/>
      <c r="M152" s="71"/>
    </row>
    <row r="153" spans="1:13" ht="20.100000000000001" customHeight="1" x14ac:dyDescent="0.25">
      <c r="A153" s="92" t="s">
        <v>515</v>
      </c>
      <c r="B153" s="96" t="s">
        <v>830</v>
      </c>
      <c r="C153" s="45">
        <v>150</v>
      </c>
      <c r="D153" s="143"/>
      <c r="E153" s="167">
        <v>1</v>
      </c>
      <c r="F153" s="143"/>
      <c r="G153" s="143"/>
      <c r="H153" s="118" t="str">
        <f>CONCATENATE(Р2[[#This Row],[Пр. ПРОК]]," ",Р2[[#This Row],[Пр. МВД]]," ",Р2[[#This Row],[Пр. ГКНБ]]," ",Р2[[#This Row],[Пр. ГСИН]])</f>
        <v xml:space="preserve">   </v>
      </c>
      <c r="I153" s="70"/>
      <c r="J153" s="70"/>
      <c r="K153" s="70"/>
      <c r="L153" s="70"/>
      <c r="M153" s="71"/>
    </row>
    <row r="154" spans="1:13" ht="20.100000000000001" customHeight="1" x14ac:dyDescent="0.25">
      <c r="A154" s="92" t="s">
        <v>515</v>
      </c>
      <c r="B154" s="99" t="s">
        <v>69</v>
      </c>
      <c r="C154" s="45">
        <v>151</v>
      </c>
      <c r="D154" s="143"/>
      <c r="E154" s="164">
        <v>43</v>
      </c>
      <c r="F154" s="143"/>
      <c r="G154" s="143"/>
      <c r="H154" s="118" t="str">
        <f>CONCATENATE(Р2[[#This Row],[Пр. ПРОК]]," ",Р2[[#This Row],[Пр. МВД]]," ",Р2[[#This Row],[Пр. ГКНБ]]," ",Р2[[#This Row],[Пр. ГСИН]])</f>
        <v xml:space="preserve">   </v>
      </c>
      <c r="I154" s="70"/>
      <c r="J154" s="70"/>
      <c r="K154" s="70"/>
      <c r="L154" s="70"/>
      <c r="M154" s="71"/>
    </row>
    <row r="155" spans="1:13" ht="20.100000000000001" customHeight="1" x14ac:dyDescent="0.25">
      <c r="A155" s="92" t="s">
        <v>515</v>
      </c>
      <c r="B155" s="95" t="s">
        <v>68</v>
      </c>
      <c r="C155" s="45">
        <v>152</v>
      </c>
      <c r="D155" s="143"/>
      <c r="E155" s="164"/>
      <c r="F155" s="143"/>
      <c r="G155" s="143"/>
      <c r="H155" s="118" t="str">
        <f>CONCATENATE(Р2[[#This Row],[Пр. ПРОК]]," ",Р2[[#This Row],[Пр. МВД]]," ",Р2[[#This Row],[Пр. ГКНБ]]," ",Р2[[#This Row],[Пр. ГСИН]])</f>
        <v xml:space="preserve">   </v>
      </c>
      <c r="I155" s="70"/>
      <c r="J155" s="70"/>
      <c r="K155" s="70"/>
      <c r="L155" s="70"/>
      <c r="M155" s="71"/>
    </row>
    <row r="156" spans="1:13" ht="20.100000000000001" customHeight="1" x14ac:dyDescent="0.25">
      <c r="A156" s="92" t="s">
        <v>515</v>
      </c>
      <c r="B156" s="95" t="s">
        <v>67</v>
      </c>
      <c r="C156" s="45">
        <v>153</v>
      </c>
      <c r="D156" s="143"/>
      <c r="E156" s="164">
        <v>128</v>
      </c>
      <c r="F156" s="143"/>
      <c r="G156" s="143"/>
      <c r="H156" s="118" t="str">
        <f>CONCATENATE(Р2[[#This Row],[Пр. ПРОК]]," ",Р2[[#This Row],[Пр. МВД]]," ",Р2[[#This Row],[Пр. ГКНБ]]," ",Р2[[#This Row],[Пр. ГСИН]])</f>
        <v xml:space="preserve">   </v>
      </c>
      <c r="I156" s="70"/>
      <c r="J156" s="70"/>
      <c r="K156" s="70"/>
      <c r="L156" s="70"/>
      <c r="M156" s="71"/>
    </row>
    <row r="157" spans="1:13" ht="20.100000000000001" customHeight="1" x14ac:dyDescent="0.25">
      <c r="A157" s="92" t="s">
        <v>515</v>
      </c>
      <c r="B157" s="95" t="s">
        <v>66</v>
      </c>
      <c r="C157" s="45">
        <v>154</v>
      </c>
      <c r="D157" s="143"/>
      <c r="E157" s="164"/>
      <c r="F157" s="143"/>
      <c r="G157" s="143"/>
      <c r="H157" s="118" t="str">
        <f>CONCATENATE(Р2[[#This Row],[Пр. ПРОК]]," ",Р2[[#This Row],[Пр. МВД]]," ",Р2[[#This Row],[Пр. ГКНБ]]," ",Р2[[#This Row],[Пр. ГСИН]])</f>
        <v xml:space="preserve">   </v>
      </c>
      <c r="I157" s="70"/>
      <c r="J157" s="70"/>
      <c r="K157" s="70"/>
      <c r="L157" s="70"/>
      <c r="M157" s="71"/>
    </row>
    <row r="158" spans="1:13" ht="20.100000000000001" customHeight="1" x14ac:dyDescent="0.25">
      <c r="A158" s="92" t="s">
        <v>515</v>
      </c>
      <c r="B158" s="99" t="s">
        <v>65</v>
      </c>
      <c r="C158" s="45">
        <v>155</v>
      </c>
      <c r="D158" s="143"/>
      <c r="E158" s="164">
        <v>21</v>
      </c>
      <c r="F158" s="143"/>
      <c r="G158" s="143"/>
      <c r="H158" s="119" t="str">
        <f>CONCATENATE(Р2[[#This Row],[Пр. ПРОК]]," ",Р2[[#This Row],[Пр. МВД]]," ",Р2[[#This Row],[Пр. ГКНБ]]," ",Р2[[#This Row],[Пр. ГСИН]])</f>
        <v xml:space="preserve">   </v>
      </c>
      <c r="I158" s="77" t="str">
        <f>IF(Р2[[#This Row],[Прокуратура]]&lt;=D154,"",CONCATENATE("Прок: ",$C158,"&lt;=",$C154))</f>
        <v/>
      </c>
      <c r="J158" s="77" t="str">
        <f>IF(Р2[[#This Row],[МВД]]&lt;=E154,"",CONCATENATE(Р2[[#Headers],[МВД]],": ",$C158,"&lt;=",$C154))</f>
        <v/>
      </c>
      <c r="K158" s="77" t="str">
        <f>IF(Р2[[#This Row],[ГКНБ]]&lt;=F154,"",CONCATENATE(Р2[[#Headers],[ГКНБ]],": ",$C158,"&lt;=",$C154))</f>
        <v/>
      </c>
      <c r="L158" s="77" t="str">
        <f>IF(Р2[[#This Row],[ГСИН]]&lt;=G154,"",CONCATENATE(Р2[[#Headers],[ГСИН]],": ",$C158,"&lt;=",$C154))</f>
        <v/>
      </c>
      <c r="M158" s="71"/>
    </row>
    <row r="159" spans="1:13" ht="20.100000000000001" customHeight="1" x14ac:dyDescent="0.25">
      <c r="A159" s="92" t="s">
        <v>515</v>
      </c>
      <c r="B159" s="95" t="s">
        <v>64</v>
      </c>
      <c r="C159" s="45">
        <v>156</v>
      </c>
      <c r="D159" s="143"/>
      <c r="E159" s="164"/>
      <c r="F159" s="143"/>
      <c r="G159" s="143"/>
      <c r="H159" s="119" t="str">
        <f>CONCATENATE(Р2[[#This Row],[Пр. ПРОК]]," ",Р2[[#This Row],[Пр. МВД]]," ",Р2[[#This Row],[Пр. ГКНБ]]," ",Р2[[#This Row],[Пр. ГСИН]])</f>
        <v xml:space="preserve">   </v>
      </c>
      <c r="I159" s="77" t="str">
        <f>IF(Р2[[#This Row],[Прокуратура]]&lt;=D155,"",CONCATENATE("Прок: ",Р2[[#This Row],[№]],"&lt;=",C155))</f>
        <v/>
      </c>
      <c r="J159" s="77" t="str">
        <f>IF(Р2[[#This Row],[МВД]]&lt;=E155,"",CONCATENATE(Р2[[#Headers],[МВД]],": ",$C159,"&lt;=",$C155))</f>
        <v/>
      </c>
      <c r="K159" s="77" t="str">
        <f>IF(Р2[[#This Row],[ГКНБ]]&lt;=F155,"",CONCATENATE(Р2[[#Headers],[ГКНБ]],": ",$C159,"&lt;=",$C155))</f>
        <v/>
      </c>
      <c r="L159" s="77" t="str">
        <f>IF(Р2[[#This Row],[ГСИН]]&lt;=G155,"",CONCATENATE(Р2[[#Headers],[ГСИН]],": ",$C159,"&lt;=",$C155))</f>
        <v/>
      </c>
      <c r="M159" s="71"/>
    </row>
    <row r="160" spans="1:13" ht="20.100000000000001" customHeight="1" x14ac:dyDescent="0.25">
      <c r="A160" s="92" t="s">
        <v>515</v>
      </c>
      <c r="B160" s="95" t="s">
        <v>63</v>
      </c>
      <c r="C160" s="45">
        <v>157</v>
      </c>
      <c r="D160" s="143"/>
      <c r="E160" s="164">
        <v>46</v>
      </c>
      <c r="F160" s="143"/>
      <c r="G160" s="143"/>
      <c r="H160" s="119" t="str">
        <f>CONCATENATE(Р2[[#This Row],[Пр. ПРОК]]," ",Р2[[#This Row],[Пр. МВД]]," ",Р2[[#This Row],[Пр. ГКНБ]]," ",Р2[[#This Row],[Пр. ГСИН]])</f>
        <v xml:space="preserve">   </v>
      </c>
      <c r="I160" s="77" t="str">
        <f>IF(Р2[[#This Row],[Прокуратура]]&lt;=D156,"",CONCATENATE("Прок: ",Р2[[#This Row],[№]],"&lt;=",C156))</f>
        <v/>
      </c>
      <c r="J160" s="77" t="str">
        <f>IF(Р2[[#This Row],[МВД]]&lt;=E156,"",CONCATENATE(Р2[[#Headers],[МВД]],": ",$C160,"&lt;=",$C156))</f>
        <v/>
      </c>
      <c r="K160" s="77" t="str">
        <f>IF(Р2[[#This Row],[ГКНБ]]&lt;=F156,"",CONCATENATE(Р2[[#Headers],[ГКНБ]],": ",$C160,"&lt;=",$C156))</f>
        <v/>
      </c>
      <c r="L160" s="77" t="str">
        <f>IF(Р2[[#This Row],[ГСИН]]&lt;=G156,"",CONCATENATE(Р2[[#Headers],[ГСИН]],": ",$C160,"&lt;=",$C156))</f>
        <v/>
      </c>
      <c r="M160" s="71"/>
    </row>
    <row r="161" spans="1:13" ht="20.100000000000001" customHeight="1" x14ac:dyDescent="0.25">
      <c r="A161" s="92" t="s">
        <v>515</v>
      </c>
      <c r="B161" s="95" t="s">
        <v>62</v>
      </c>
      <c r="C161" s="45">
        <v>158</v>
      </c>
      <c r="D161" s="143"/>
      <c r="E161" s="164"/>
      <c r="F161" s="143"/>
      <c r="G161" s="143"/>
      <c r="H161" s="119" t="str">
        <f>CONCATENATE(Р2[[#This Row],[Пр. ПРОК]]," ",Р2[[#This Row],[Пр. МВД]]," ",Р2[[#This Row],[Пр. ГКНБ]]," ",Р2[[#This Row],[Пр. ГСИН]])</f>
        <v xml:space="preserve">   </v>
      </c>
      <c r="I161" s="77" t="str">
        <f>IF(Р2[[#This Row],[Прокуратура]]&lt;=D157,"",CONCATENATE("Прок: ",Р2[[#This Row],[№]],"&lt;=",C157))</f>
        <v/>
      </c>
      <c r="J161" s="77" t="str">
        <f>IF(Р2[[#This Row],[МВД]]&lt;=E157,"",CONCATENATE(Р2[[#Headers],[МВД]],": ",$C161,"&lt;=",$C157))</f>
        <v/>
      </c>
      <c r="K161" s="77" t="str">
        <f>IF(Р2[[#This Row],[ГКНБ]]&lt;=F157,"",CONCATENATE(Р2[[#Headers],[ГКНБ]],": ",$C161,"&lt;=",$C157))</f>
        <v/>
      </c>
      <c r="L161" s="77" t="str">
        <f>IF(Р2[[#This Row],[ГСИН]]&lt;=G157,"",CONCATENATE(Р2[[#Headers],[ГСИН]],": ",$C161,"&lt;=",$C157))</f>
        <v/>
      </c>
      <c r="M161" s="71"/>
    </row>
    <row r="162" spans="1:13" ht="20.100000000000001" customHeight="1" x14ac:dyDescent="0.25">
      <c r="A162" s="92" t="s">
        <v>515</v>
      </c>
      <c r="B162" s="100" t="s">
        <v>812</v>
      </c>
      <c r="C162" s="45">
        <v>159</v>
      </c>
      <c r="D162" s="143"/>
      <c r="E162" s="164">
        <v>127</v>
      </c>
      <c r="F162" s="143"/>
      <c r="G162" s="143"/>
      <c r="H162" s="118" t="str">
        <f>CONCATENATE(Р2[[#This Row],[Пр. ПРОК]]," ",Р2[[#This Row],[Пр. МВД]]," ",Р2[[#This Row],[Пр. ГКНБ]]," ",Р2[[#This Row],[Пр. ГСИН]])</f>
        <v xml:space="preserve">   </v>
      </c>
      <c r="I162" s="70"/>
      <c r="J162" s="70"/>
      <c r="K162" s="70"/>
      <c r="L162" s="70"/>
      <c r="M162" s="71"/>
    </row>
    <row r="163" spans="1:13" ht="20.100000000000001" customHeight="1" x14ac:dyDescent="0.25">
      <c r="A163" s="92" t="s">
        <v>515</v>
      </c>
      <c r="B163" s="96" t="s">
        <v>813</v>
      </c>
      <c r="C163" s="45">
        <v>160</v>
      </c>
      <c r="D163" s="143"/>
      <c r="E163" s="164"/>
      <c r="F163" s="143"/>
      <c r="G163" s="143"/>
      <c r="H163" s="118" t="str">
        <f>CONCATENATE(Р2[[#This Row],[Пр. ПРОК]]," ",Р2[[#This Row],[Пр. МВД]]," ",Р2[[#This Row],[Пр. ГКНБ]]," ",Р2[[#This Row],[Пр. ГСИН]])</f>
        <v xml:space="preserve">   </v>
      </c>
      <c r="I163" s="70"/>
      <c r="J163" s="70"/>
      <c r="K163" s="70"/>
      <c r="L163" s="70"/>
      <c r="M163" s="71"/>
    </row>
    <row r="164" spans="1:13" ht="20.100000000000001" customHeight="1" x14ac:dyDescent="0.25">
      <c r="A164" s="92" t="s">
        <v>515</v>
      </c>
      <c r="B164" s="96" t="s">
        <v>814</v>
      </c>
      <c r="C164" s="45">
        <v>161</v>
      </c>
      <c r="D164" s="143"/>
      <c r="E164" s="164">
        <v>14023</v>
      </c>
      <c r="F164" s="143"/>
      <c r="G164" s="143"/>
      <c r="H164" s="118" t="str">
        <f>CONCATENATE(Р2[[#This Row],[Пр. ПРОК]]," ",Р2[[#This Row],[Пр. МВД]]," ",Р2[[#This Row],[Пр. ГКНБ]]," ",Р2[[#This Row],[Пр. ГСИН]])</f>
        <v xml:space="preserve">   </v>
      </c>
      <c r="I164" s="70"/>
      <c r="J164" s="70"/>
      <c r="K164" s="70"/>
      <c r="L164" s="70"/>
      <c r="M164" s="71"/>
    </row>
    <row r="165" spans="1:13" ht="20.100000000000001" customHeight="1" x14ac:dyDescent="0.25">
      <c r="A165" s="92" t="s">
        <v>515</v>
      </c>
      <c r="B165" s="96" t="s">
        <v>815</v>
      </c>
      <c r="C165" s="45">
        <v>162</v>
      </c>
      <c r="D165" s="143"/>
      <c r="E165" s="164">
        <v>22</v>
      </c>
      <c r="F165" s="143"/>
      <c r="G165" s="143"/>
      <c r="H165" s="118" t="str">
        <f>CONCATENATE(Р2[[#This Row],[Пр. ПРОК]]," ",Р2[[#This Row],[Пр. МВД]]," ",Р2[[#This Row],[Пр. ГКНБ]]," ",Р2[[#This Row],[Пр. ГСИН]])</f>
        <v xml:space="preserve">   </v>
      </c>
      <c r="I165" s="70"/>
      <c r="J165" s="70"/>
      <c r="K165" s="70"/>
      <c r="L165" s="70"/>
      <c r="M165" s="71"/>
    </row>
    <row r="166" spans="1:13" ht="20.100000000000001" customHeight="1" x14ac:dyDescent="0.25">
      <c r="A166" s="92" t="s">
        <v>515</v>
      </c>
      <c r="B166" s="100" t="s">
        <v>816</v>
      </c>
      <c r="C166" s="45">
        <v>163</v>
      </c>
      <c r="D166" s="143"/>
      <c r="E166" s="164">
        <v>59</v>
      </c>
      <c r="F166" s="143"/>
      <c r="G166" s="143"/>
      <c r="H166" s="119" t="str">
        <f>CONCATENATE(Р2[[#This Row],[Пр. ПРОК]]," ",Р2[[#This Row],[Пр. МВД]]," ",Р2[[#This Row],[Пр. ГКНБ]]," ",Р2[[#This Row],[Пр. ГСИН]])</f>
        <v xml:space="preserve">       </v>
      </c>
      <c r="I166" s="80" t="str">
        <f>CONCATENATE(IF(Р2[[#This Row],[Прокуратура]]=(D57-D134-D158),"",CONCATENATE("Прок: ",$C166,"=(",$C57,"-",$C134,"-",$C158,")"))," ",IF(Р2[[#This Row],[Прокуратура]]&lt;=D162,"",CONCATENATE("Прок: ",$C166,"&lt;=",$C162)))</f>
        <v xml:space="preserve"> </v>
      </c>
      <c r="J166" s="80" t="str">
        <f>CONCATENATE(IF(Р2[[#This Row],[МВД]]=(E57-E134-E158),"",CONCATENATE(Р2[[#Headers],[МВД]],": ",$C166,"=(",$C57,"-",$C134,"-",$C158,")"))," ",IF(Р2[[#This Row],[МВД]]&lt;=E162,"",CONCATENATE(Р2[[#Headers],[МВД]],": ",$C166,"&lt;=",$C162)))</f>
        <v xml:space="preserve"> </v>
      </c>
      <c r="K166" s="80" t="str">
        <f>CONCATENATE(IF(Р2[[#This Row],[ГКНБ]]=(F57-F134-F158),"",CONCATENATE(Р2[[#Headers],[ГКНБ]],": ",$C166,"=(",$C57,"-",$C134,"-",$C158,")"))," ",IF(Р2[[#This Row],[ГКНБ]]&lt;=F162,"",CONCATENATE(Р2[[#Headers],[ГКНБ]],": ",$C166,"&lt;=",$C162)))</f>
        <v xml:space="preserve"> </v>
      </c>
      <c r="L166" s="80" t="str">
        <f>CONCATENATE(IF(Р2[[#This Row],[ГСИН]]=(G57-G134-G158),"",CONCATENATE(Р2[[#Headers],[ГСИН]],": ",$C166,"=(",$C57,"-",$C134,"-",$C158,")"))," ",IF(Р2[[#This Row],[ГСИН]]&lt;=G162,"",CONCATENATE(Р2[[#Headers],[ГСИН]],": ",$C166,"&lt;=",$C162)))</f>
        <v xml:space="preserve"> </v>
      </c>
      <c r="M166" s="71"/>
    </row>
    <row r="167" spans="1:13" ht="20.100000000000001" customHeight="1" x14ac:dyDescent="0.25">
      <c r="A167" s="92" t="s">
        <v>515</v>
      </c>
      <c r="B167" s="96" t="s">
        <v>817</v>
      </c>
      <c r="C167" s="45">
        <v>164</v>
      </c>
      <c r="D167" s="143"/>
      <c r="E167" s="164"/>
      <c r="F167" s="143"/>
      <c r="G167" s="143"/>
      <c r="H167" s="119" t="str">
        <f>CONCATENATE(Р2[[#This Row],[Пр. ПРОК]]," ",Р2[[#This Row],[Пр. МВД]]," ",Р2[[#This Row],[Пр. ГКНБ]]," ",Р2[[#This Row],[Пр. ГСИН]])</f>
        <v xml:space="preserve">       </v>
      </c>
      <c r="I167" s="80" t="str">
        <f>CONCATENATE(IF(Р2[[#This Row],[Прокуратура]]=(D59-D135-D159),"",CONCATENATE("Прок: ",$C167,"=(",$C59,"-",$C135,"-",$C159,")"))," ",IF(Р2[[#This Row],[Прокуратура]]&lt;=D163,"",CONCATENATE(Р2[[#Headers],[Прокуратура]],": ",$C167,"&lt;=",$C163)))</f>
        <v xml:space="preserve"> </v>
      </c>
      <c r="J167" s="80" t="str">
        <f>CONCATENATE(IF(Р2[[#This Row],[МВД]]=(E59-E135-E159),"",CONCATENATE(Р2[[#Headers],[МВД]],": ",$C167,"=(",$C59,"-",$C135,"-",$C159,")"))," ",IF(Р2[[#This Row],[МВД]]&lt;=E163,"",CONCATENATE(Р2[[#Headers],[МВД]],": ",$C167,"&lt;=",$C163)))</f>
        <v xml:space="preserve"> </v>
      </c>
      <c r="K167" s="80" t="str">
        <f>CONCATENATE(IF(Р2[[#This Row],[ГКНБ]]=(F59-F135-F159),"",CONCATENATE(Р2[[#Headers],[ГКНБ]],": ",$C167,"=(",$C59,"-",$C135,"-",$C159,")"))," ",IF(Р2[[#This Row],[ГКНБ]]&lt;=F163,"",CONCATENATE(Р2[[#Headers],[ГКНБ]],": ",$C167,"&lt;=",$C163)))</f>
        <v xml:space="preserve"> </v>
      </c>
      <c r="L167" s="80" t="str">
        <f>CONCATENATE(IF(Р2[[#This Row],[ГСИН]]=(G59-G135-G159),"",CONCATENATE(Р2[[#Headers],[ГСИН]],": ",$C167,"=(",$C59,"-",$C135,"-",$C159,")"))," ",IF(Р2[[#This Row],[ГСИН]]&lt;=G163,"",CONCATENATE(Р2[[#Headers],[ГСИН]],": ",$C167,"&lt;=",$C163)))</f>
        <v xml:space="preserve"> </v>
      </c>
      <c r="M167" s="71"/>
    </row>
    <row r="168" spans="1:13" ht="20.100000000000001" customHeight="1" x14ac:dyDescent="0.25">
      <c r="A168" s="92" t="s">
        <v>515</v>
      </c>
      <c r="B168" s="96" t="s">
        <v>818</v>
      </c>
      <c r="C168" s="45">
        <v>165</v>
      </c>
      <c r="D168" s="143"/>
      <c r="E168" s="164">
        <v>276</v>
      </c>
      <c r="F168" s="143"/>
      <c r="G168" s="143"/>
      <c r="H168" s="119" t="str">
        <f>CONCATENATE(Р2[[#This Row],[Пр. ПРОК]]," ",Р2[[#This Row],[Пр. МВД]]," ",Р2[[#This Row],[Пр. ГКНБ]]," ",Р2[[#This Row],[Пр. ГСИН]])</f>
        <v xml:space="preserve">       </v>
      </c>
      <c r="I168" s="80" t="str">
        <f>CONCATENATE(IF(Р2[[#This Row],[Прокуратура]]=(D60-D136-D160),"",CONCATENATE("Прок: ",Р2[[#This Row],[№]],"=(",C60,"-",C136,"-",C160,")"))," ",IF(Р2[[#This Row],[Прокуратура]]&lt;=D164,"",CONCATENATE("Прок: ",Р2[[#This Row],[№]],"&lt;=",C164)))</f>
        <v xml:space="preserve"> </v>
      </c>
      <c r="J168" s="80" t="str">
        <f>CONCATENATE(IF(Р2[[#This Row],[МВД]]=(E60-E136-E160),"",CONCATENATE(Р2[[#Headers],[МВД]],": ",$C168,"=(",$C60,"-",$C136,"-",$C160,")"))," ",IF(Р2[[#This Row],[МВД]]&lt;=E164,"",CONCATENATE(Р2[[#Headers],[МВД]],": ",$C168,"&lt;=",$C164)))</f>
        <v xml:space="preserve"> </v>
      </c>
      <c r="K168" s="80" t="str">
        <f>CONCATENATE(IF(Р2[[#This Row],[ГКНБ]]=(F60-F136-F160),"",CONCATENATE(Р2[[#Headers],[ГКНБ]],": ",$C168,"=(",$C60,"-",$C136,"-",$C160,")"))," ",IF(Р2[[#This Row],[ГКНБ]]&lt;=F164,"",CONCATENATE(Р2[[#Headers],[ГКНБ]],": ",$C168,"&lt;=",$C164)))</f>
        <v xml:space="preserve"> </v>
      </c>
      <c r="L168" s="80" t="str">
        <f>CONCATENATE(IF(Р2[[#This Row],[ГСИН]]=(G60-G136-G160),"",CONCATENATE(Р2[[#Headers],[ГСИН]],": ",$C168,"=(",$C60,"-",$C136,"-",$C160,")"))," ",IF(Р2[[#This Row],[ГСИН]]&lt;=G164,"",CONCATENATE(Р2[[#Headers],[ГСИН]],": ",$C168,"&lt;=",$C164)))</f>
        <v xml:space="preserve"> </v>
      </c>
      <c r="M168" s="71"/>
    </row>
    <row r="169" spans="1:13" ht="20.100000000000001" customHeight="1" x14ac:dyDescent="0.25">
      <c r="A169" s="92" t="s">
        <v>515</v>
      </c>
      <c r="B169" s="96" t="s">
        <v>819</v>
      </c>
      <c r="C169" s="45">
        <v>166</v>
      </c>
      <c r="D169" s="143"/>
      <c r="E169" s="164"/>
      <c r="F169" s="143"/>
      <c r="G169" s="143"/>
      <c r="H169" s="119" t="str">
        <f>CONCATENATE(Р2[[#This Row],[Пр. ПРОК]]," ",Р2[[#This Row],[Пр. МВД]]," ",Р2[[#This Row],[Пр. ГКНБ]]," ",Р2[[#This Row],[Пр. ГСИН]])</f>
        <v xml:space="preserve">       </v>
      </c>
      <c r="I169" s="80" t="str">
        <f>CONCATENATE(IF(Р2[[#This Row],[Прокуратура]]=(D61-D137-D161),"",CONCATENATE("Прок: ",Р2[[#This Row],[№]],"=(",C61,"-",C137,"-",C161,")"))," ",IF(Р2[[#This Row],[Прокуратура]]&lt;=D165,"",CONCATENATE("Прок: ",Р2[[#This Row],[№]],"&lt;=",C165)))</f>
        <v xml:space="preserve"> </v>
      </c>
      <c r="J169" s="80" t="str">
        <f>CONCATENATE(IF(Р2[[#This Row],[МВД]]=(E61-E137-E161),"",CONCATENATE(Р2[[#Headers],[МВД]],": ",$C169,"=(",$C61,"-",$C137,"-",$C161,")"))," ",IF(Р2[[#This Row],[МВД]]&lt;=E165,"",CONCATENATE(Р2[[#Headers],[МВД]],": ",$C169,"&lt;=",$C165)))</f>
        <v xml:space="preserve"> </v>
      </c>
      <c r="K169" s="80" t="str">
        <f>CONCATENATE(IF(Р2[[#This Row],[ГКНБ]]=(F61-F137-F161),"",CONCATENATE(Р2[[#Headers],[ГКНБ]],": ",$C169,"=(",$C61,"-",$C137,"-",$C161,")"))," ",IF(Р2[[#This Row],[ГКНБ]]&lt;=F165,"",CONCATENATE(Р2[[#Headers],[ГКНБ]],": ",$C169,"&lt;=",$C165)))</f>
        <v xml:space="preserve"> </v>
      </c>
      <c r="L169" s="80" t="str">
        <f>CONCATENATE(IF(Р2[[#This Row],[ГСИН]]=(G61-G137-G161),"",CONCATENATE(Р2[[#Headers],[ГСИН]],": ",$C169,"=(",$C61,"-",$C137,"-",$C161,")"))," ",IF(Р2[[#This Row],[ГСИН]]&lt;=G165,"",CONCATENATE(Р2[[#Headers],[ГСИН]],": ",$C169,"&lt;=",$C165)))</f>
        <v xml:space="preserve"> </v>
      </c>
      <c r="M169" s="71"/>
    </row>
    <row r="170" spans="1:13" ht="20.100000000000001" customHeight="1" x14ac:dyDescent="0.25">
      <c r="A170" s="92" t="s">
        <v>515</v>
      </c>
      <c r="B170" s="99" t="s">
        <v>912</v>
      </c>
      <c r="C170" s="45">
        <v>167</v>
      </c>
      <c r="D170" s="143"/>
      <c r="E170" s="164">
        <v>64</v>
      </c>
      <c r="F170" s="143"/>
      <c r="G170" s="143"/>
      <c r="H170" s="119" t="str">
        <f>CONCATENATE(Р2[[#This Row],[Пр. ПРОК]]," ",Р2[[#This Row],[Пр. МВД]]," ",Р2[[#This Row],[Пр. ГКНБ]]," ",Р2[[#This Row],[Пр. ГСИН]])</f>
        <v xml:space="preserve">   </v>
      </c>
      <c r="I170" s="80" t="str">
        <f>IF(Р2[[#This Row],[Прокуратура]]&lt;=D148,"",CONCATENATE("Прок: ",$C$170,"&lt;=",$C$148))</f>
        <v/>
      </c>
      <c r="J170" s="80" t="str">
        <f>IF(Р2[[#This Row],[МВД]]&lt;=E148,"",CONCATENATE(Р2[[#Headers],[МВД]],": ",$C$170,"&lt;=",$C$148))</f>
        <v/>
      </c>
      <c r="K170" s="80" t="str">
        <f>IF(Р2[[#This Row],[ГКНБ]]&lt;=F148,"",CONCATENATE(Р2[[#Headers],[ГКНБ]],": ",$C$170,"&lt;=",$C$148))</f>
        <v/>
      </c>
      <c r="L170" s="80" t="str">
        <f>IF(Р2[[#This Row],[ГСИН]]&lt;=G148,"",CONCATENATE(Р2[[#Headers],[ГСИН]],": ",$C$170,"&lt;=",$C$148))</f>
        <v/>
      </c>
      <c r="M170" s="71"/>
    </row>
    <row r="171" spans="1:13" ht="20.100000000000001" customHeight="1" x14ac:dyDescent="0.25">
      <c r="A171" s="92"/>
      <c r="B171" s="96" t="s">
        <v>118</v>
      </c>
      <c r="C171" s="45">
        <v>168</v>
      </c>
      <c r="D171" s="143"/>
      <c r="E171" s="164">
        <v>14</v>
      </c>
      <c r="F171" s="143"/>
      <c r="G171" s="143"/>
      <c r="H171" s="118" t="str">
        <f>CONCATENATE(Р2[[#This Row],[Пр. ПРОК]]," ",Р2[[#This Row],[Пр. МВД]]," ",Р2[[#This Row],[Пр. ГКНБ]]," ",Р2[[#This Row],[Пр. ГСИН]])</f>
        <v xml:space="preserve">   </v>
      </c>
      <c r="I171" s="70"/>
      <c r="J171" s="70"/>
      <c r="K171" s="70"/>
      <c r="L171" s="70"/>
      <c r="M171" s="71"/>
    </row>
    <row r="172" spans="1:13" ht="20.100000000000001" customHeight="1" x14ac:dyDescent="0.25">
      <c r="A172" s="92"/>
      <c r="B172" s="96" t="s">
        <v>888</v>
      </c>
      <c r="C172" s="45">
        <v>169</v>
      </c>
      <c r="D172" s="143"/>
      <c r="E172" s="164">
        <v>50</v>
      </c>
      <c r="F172" s="143"/>
      <c r="G172" s="143"/>
      <c r="H172" s="118" t="str">
        <f>CONCATENATE(Р2[[#This Row],[Пр. ПРОК]]," ",Р2[[#This Row],[Пр. МВД]]," ",Р2[[#This Row],[Пр. ГКНБ]]," ",Р2[[#This Row],[Пр. ГСИН]])</f>
        <v xml:space="preserve">   </v>
      </c>
      <c r="I172" s="70"/>
      <c r="J172" s="70"/>
      <c r="K172" s="70"/>
      <c r="L172" s="70"/>
      <c r="M172" s="71"/>
    </row>
    <row r="173" spans="1:13" ht="20.100000000000001" customHeight="1" x14ac:dyDescent="0.25">
      <c r="A173" s="92"/>
      <c r="B173" s="96" t="s">
        <v>889</v>
      </c>
      <c r="C173" s="45">
        <v>170</v>
      </c>
      <c r="D173" s="143"/>
      <c r="E173" s="164">
        <v>11</v>
      </c>
      <c r="F173" s="143"/>
      <c r="G173" s="143"/>
      <c r="H173" s="118" t="str">
        <f>CONCATENATE(Р2[[#This Row],[Пр. ПРОК]]," ",Р2[[#This Row],[Пр. МВД]]," ",Р2[[#This Row],[Пр. ГКНБ]]," ",Р2[[#This Row],[Пр. ГСИН]])</f>
        <v xml:space="preserve">   </v>
      </c>
      <c r="I173" s="70"/>
      <c r="J173" s="70"/>
      <c r="K173" s="70"/>
      <c r="L173" s="70"/>
      <c r="M173" s="71"/>
    </row>
    <row r="174" spans="1:13" ht="20.100000000000001" customHeight="1" x14ac:dyDescent="0.25">
      <c r="A174" s="92"/>
      <c r="B174" s="139" t="s">
        <v>890</v>
      </c>
      <c r="C174" s="45">
        <v>171</v>
      </c>
      <c r="D174" s="141">
        <f>SUM(D175:D178)</f>
        <v>0</v>
      </c>
      <c r="E174" s="141">
        <f>SUM(E175:E178)</f>
        <v>70</v>
      </c>
      <c r="F174" s="141">
        <f>SUM(F175:F178)</f>
        <v>0</v>
      </c>
      <c r="G174" s="141">
        <f>SUM(G175:G178)</f>
        <v>0</v>
      </c>
      <c r="H174" s="118" t="str">
        <f>CONCATENATE(Р2[[#This Row],[Пр. ПРОК]]," ",Р2[[#This Row],[Пр. МВД]]," ",Р2[[#This Row],[Пр. ГКНБ]]," ",Р2[[#This Row],[Пр. ГСИН]])</f>
        <v xml:space="preserve">   </v>
      </c>
      <c r="I174" s="70"/>
      <c r="J174" s="70"/>
      <c r="K174" s="70"/>
      <c r="L174" s="70"/>
      <c r="M174" s="71"/>
    </row>
    <row r="175" spans="1:13" s="27" customFormat="1" ht="20.100000000000001" customHeight="1" x14ac:dyDescent="0.25">
      <c r="A175" s="92"/>
      <c r="B175" s="139" t="s">
        <v>891</v>
      </c>
      <c r="C175" s="45">
        <v>172</v>
      </c>
      <c r="D175" s="143"/>
      <c r="E175" s="164">
        <v>23</v>
      </c>
      <c r="F175" s="143"/>
      <c r="G175" s="143"/>
      <c r="H175" s="118" t="str">
        <f>CONCATENATE(Р2[[#This Row],[Пр. ПРОК]]," ",Р2[[#This Row],[Пр. МВД]]," ",Р2[[#This Row],[Пр. ГКНБ]]," ",Р2[[#This Row],[Пр. ГСИН]])</f>
        <v xml:space="preserve">   </v>
      </c>
      <c r="I175" s="70"/>
      <c r="J175" s="70"/>
      <c r="K175" s="70"/>
      <c r="L175" s="70"/>
      <c r="M175" s="71"/>
    </row>
    <row r="176" spans="1:13" s="27" customFormat="1" ht="20.100000000000001" customHeight="1" x14ac:dyDescent="0.25">
      <c r="A176" s="92"/>
      <c r="B176" s="139" t="s">
        <v>892</v>
      </c>
      <c r="C176" s="45">
        <v>173</v>
      </c>
      <c r="D176" s="143"/>
      <c r="E176" s="164"/>
      <c r="F176" s="143"/>
      <c r="G176" s="143"/>
      <c r="H176" s="118" t="str">
        <f>CONCATENATE(Р2[[#This Row],[Пр. ПРОК]]," ",Р2[[#This Row],[Пр. МВД]]," ",Р2[[#This Row],[Пр. ГКНБ]]," ",Р2[[#This Row],[Пр. ГСИН]])</f>
        <v xml:space="preserve">   </v>
      </c>
      <c r="I176" s="70"/>
      <c r="J176" s="70"/>
      <c r="K176" s="70"/>
      <c r="L176" s="70"/>
      <c r="M176" s="71"/>
    </row>
    <row r="177" spans="1:13" s="27" customFormat="1" ht="20.100000000000001" customHeight="1" x14ac:dyDescent="0.25">
      <c r="A177" s="92"/>
      <c r="B177" s="139" t="s">
        <v>893</v>
      </c>
      <c r="C177" s="45">
        <v>174</v>
      </c>
      <c r="D177" s="143"/>
      <c r="E177" s="164">
        <v>47</v>
      </c>
      <c r="F177" s="143"/>
      <c r="G177" s="143"/>
      <c r="H177" s="118" t="str">
        <f>CONCATENATE(Р2[[#This Row],[Пр. ПРОК]]," ",Р2[[#This Row],[Пр. МВД]]," ",Р2[[#This Row],[Пр. ГКНБ]]," ",Р2[[#This Row],[Пр. ГСИН]])</f>
        <v xml:space="preserve">   </v>
      </c>
      <c r="I177" s="70"/>
      <c r="J177" s="70"/>
      <c r="K177" s="70"/>
      <c r="L177" s="70"/>
      <c r="M177" s="71"/>
    </row>
    <row r="178" spans="1:13" s="27" customFormat="1" ht="20.100000000000001" customHeight="1" x14ac:dyDescent="0.25">
      <c r="A178" s="92"/>
      <c r="B178" s="139" t="s">
        <v>894</v>
      </c>
      <c r="C178" s="45">
        <v>175</v>
      </c>
      <c r="D178" s="143"/>
      <c r="E178" s="164"/>
      <c r="F178" s="143"/>
      <c r="G178" s="143"/>
      <c r="H178" s="118" t="str">
        <f>CONCATENATE(Р2[[#This Row],[Пр. ПРОК]]," ",Р2[[#This Row],[Пр. МВД]]," ",Р2[[#This Row],[Пр. ГКНБ]]," ",Р2[[#This Row],[Пр. ГСИН]])</f>
        <v xml:space="preserve">   </v>
      </c>
      <c r="I178" s="70"/>
      <c r="J178" s="70"/>
      <c r="K178" s="70"/>
      <c r="L178" s="70"/>
      <c r="M178" s="71"/>
    </row>
    <row r="179" spans="1:13" s="27" customFormat="1" ht="20.100000000000001" customHeight="1" x14ac:dyDescent="0.25">
      <c r="A179" s="92"/>
      <c r="B179" s="139" t="s">
        <v>910</v>
      </c>
      <c r="C179" s="45">
        <v>176</v>
      </c>
      <c r="D179" s="143"/>
      <c r="E179" s="164">
        <v>5</v>
      </c>
      <c r="F179" s="143"/>
      <c r="G179" s="143"/>
      <c r="H179" s="118" t="str">
        <f>CONCATENATE(Р2[[#This Row],[Пр. ПРОК]]," ",Р2[[#This Row],[Пр. МВД]]," ",Р2[[#This Row],[Пр. ГКНБ]]," ",Р2[[#This Row],[Пр. ГСИН]])</f>
        <v xml:space="preserve">   </v>
      </c>
      <c r="I179" s="70"/>
      <c r="J179" s="70"/>
      <c r="K179" s="70"/>
      <c r="L179" s="70"/>
      <c r="M179" s="71"/>
    </row>
    <row r="180" spans="1:13" s="27" customFormat="1" ht="20.100000000000001" customHeight="1" x14ac:dyDescent="0.25">
      <c r="A180" s="91" t="s">
        <v>516</v>
      </c>
      <c r="B180" s="146" t="s">
        <v>507</v>
      </c>
      <c r="C180" s="45">
        <v>177</v>
      </c>
      <c r="D180" s="145"/>
      <c r="E180" s="145"/>
      <c r="F180" s="145"/>
      <c r="G180" s="145"/>
      <c r="H180" s="118" t="str">
        <f>CONCATENATE(Р2[[#This Row],[Пр. ПРОК]]," ",Р2[[#This Row],[Пр. МВД]]," ",Р2[[#This Row],[Пр. ГКНБ]]," ",Р2[[#This Row],[Пр. ГСИН]])</f>
        <v xml:space="preserve">   </v>
      </c>
      <c r="I180" s="70"/>
      <c r="J180" s="70"/>
      <c r="K180" s="70"/>
      <c r="L180" s="70"/>
      <c r="M180" s="71"/>
    </row>
    <row r="181" spans="1:13" s="27" customFormat="1" ht="20.100000000000001" customHeight="1" x14ac:dyDescent="0.25">
      <c r="A181" s="101"/>
      <c r="B181" s="102" t="s">
        <v>556</v>
      </c>
      <c r="C181" s="45">
        <v>178</v>
      </c>
      <c r="D181" s="141">
        <f>SUM(D182+D185+D188+D191+D192+D193)</f>
        <v>0</v>
      </c>
      <c r="E181" s="141">
        <f t="shared" ref="E181:G181" si="9">SUM(E182+E185+E188+E191+E192+E193)</f>
        <v>1548</v>
      </c>
      <c r="F181" s="141">
        <f t="shared" si="9"/>
        <v>0</v>
      </c>
      <c r="G181" s="141">
        <f t="shared" si="9"/>
        <v>0</v>
      </c>
      <c r="H181" s="119" t="str">
        <f>CONCATENATE(Р2[[#This Row],[Пр. ПРОК]]," ",Р2[[#This Row],[Пр. МВД]]," ",Р2[[#This Row],[Пр. ГКНБ]]," ",Р2[[#This Row],[Пр. ГСИН]])</f>
        <v xml:space="preserve">   </v>
      </c>
      <c r="I181" s="80" t="str">
        <f>IF(Р2[[#This Row],[Прокуратура]]&gt;=D194,"",CONCATENATE("Прок: ",$C$181,"&gt;=",$C$194))</f>
        <v/>
      </c>
      <c r="J181" s="80" t="str">
        <f>IF(Р2[[#This Row],[МВД]]&gt;=E194,"",CONCATENATE(Р2[[#Headers],[МВД]],": ",$C$181,"&gt;=",$C$194))</f>
        <v/>
      </c>
      <c r="K181" s="80" t="str">
        <f>IF(Р2[[#This Row],[ГКНБ]]&gt;=F194,"",CONCATENATE(Р2[[#Headers],[ГКНБ]],": ",$C$181,"&gt;=",$C$194))</f>
        <v/>
      </c>
      <c r="L181" s="80" t="str">
        <f>IF(Р2[[#This Row],[ГСИН]]&gt;=G194,"",CONCATENATE(Р2[[#Headers],[ГСИН]],": ",$C$181,"&gt;=",$C$194))</f>
        <v/>
      </c>
      <c r="M181" s="90"/>
    </row>
    <row r="182" spans="1:13" s="27" customFormat="1" ht="20.100000000000001" customHeight="1" x14ac:dyDescent="0.25">
      <c r="A182" s="101"/>
      <c r="B182" s="103" t="s">
        <v>551</v>
      </c>
      <c r="C182" s="45">
        <v>179</v>
      </c>
      <c r="D182" s="143"/>
      <c r="E182" s="164">
        <v>253</v>
      </c>
      <c r="F182" s="143"/>
      <c r="G182" s="143"/>
      <c r="H182" s="121" t="str">
        <f>CONCATENATE(Р2[[#This Row],[Пр. ПРОК]]," ",Р2[[#This Row],[Пр. МВД]]," ",Р2[[#This Row],[Пр. ГКНБ]]," ",Р2[[#This Row],[Пр. ГСИН]])</f>
        <v xml:space="preserve">   </v>
      </c>
      <c r="I182" s="89"/>
      <c r="J182" s="89"/>
      <c r="K182" s="89"/>
      <c r="L182" s="89"/>
      <c r="M182" s="90"/>
    </row>
    <row r="183" spans="1:13" s="27" customFormat="1" ht="20.100000000000001" customHeight="1" x14ac:dyDescent="0.25">
      <c r="A183" s="101"/>
      <c r="B183" s="104" t="s">
        <v>554</v>
      </c>
      <c r="C183" s="45">
        <v>180</v>
      </c>
      <c r="D183" s="143"/>
      <c r="E183" s="164"/>
      <c r="F183" s="143"/>
      <c r="G183" s="143"/>
      <c r="H183" s="121" t="str">
        <f>CONCATENATE(Р2[[#This Row],[Пр. ПРОК]]," ",Р2[[#This Row],[Пр. МВД]]," ",Р2[[#This Row],[Пр. ГКНБ]]," ",Р2[[#This Row],[Пр. ГСИН]])</f>
        <v xml:space="preserve">   </v>
      </c>
      <c r="I183" s="89"/>
      <c r="J183" s="89"/>
      <c r="K183" s="89"/>
      <c r="L183" s="89"/>
      <c r="M183" s="90"/>
    </row>
    <row r="184" spans="1:13" s="27" customFormat="1" ht="20.100000000000001" customHeight="1" x14ac:dyDescent="0.25">
      <c r="A184" s="101"/>
      <c r="B184" s="104" t="s">
        <v>821</v>
      </c>
      <c r="C184" s="45">
        <v>181</v>
      </c>
      <c r="D184" s="143"/>
      <c r="E184" s="164"/>
      <c r="F184" s="143"/>
      <c r="G184" s="143"/>
      <c r="H184" s="121" t="str">
        <f>CONCATENATE(Р2[[#This Row],[Пр. ПРОК]]," ",Р2[[#This Row],[Пр. МВД]]," ",Р2[[#This Row],[Пр. ГКНБ]]," ",Р2[[#This Row],[Пр. ГСИН]])</f>
        <v xml:space="preserve">   </v>
      </c>
      <c r="I184" s="89"/>
      <c r="J184" s="89"/>
      <c r="K184" s="89"/>
      <c r="L184" s="89"/>
      <c r="M184" s="90"/>
    </row>
    <row r="185" spans="1:13" s="27" customFormat="1" ht="20.100000000000001" customHeight="1" x14ac:dyDescent="0.25">
      <c r="A185" s="101"/>
      <c r="B185" s="103" t="s">
        <v>552</v>
      </c>
      <c r="C185" s="45">
        <v>182</v>
      </c>
      <c r="D185" s="143"/>
      <c r="E185" s="164">
        <v>66</v>
      </c>
      <c r="F185" s="143"/>
      <c r="G185" s="143"/>
      <c r="H185" s="121" t="str">
        <f>CONCATENATE(Р2[[#This Row],[Пр. ПРОК]]," ",Р2[[#This Row],[Пр. МВД]]," ",Р2[[#This Row],[Пр. ГКНБ]]," ",Р2[[#This Row],[Пр. ГСИН]])</f>
        <v xml:space="preserve">   </v>
      </c>
      <c r="I185" s="89"/>
      <c r="J185" s="89"/>
      <c r="K185" s="89"/>
      <c r="L185" s="89"/>
      <c r="M185" s="90"/>
    </row>
    <row r="186" spans="1:13" s="27" customFormat="1" ht="20.100000000000001" customHeight="1" x14ac:dyDescent="0.25">
      <c r="A186" s="101"/>
      <c r="B186" s="104" t="s">
        <v>555</v>
      </c>
      <c r="C186" s="45">
        <v>183</v>
      </c>
      <c r="D186" s="143"/>
      <c r="E186" s="143"/>
      <c r="F186" s="143"/>
      <c r="G186" s="143"/>
      <c r="H186" s="121" t="str">
        <f>CONCATENATE(Р2[[#This Row],[Пр. ПРОК]]," ",Р2[[#This Row],[Пр. МВД]]," ",Р2[[#This Row],[Пр. ГКНБ]]," ",Р2[[#This Row],[Пр. ГСИН]])</f>
        <v xml:space="preserve">   </v>
      </c>
      <c r="I186" s="89"/>
      <c r="J186" s="89"/>
      <c r="K186" s="89"/>
      <c r="L186" s="89"/>
      <c r="M186" s="90"/>
    </row>
    <row r="187" spans="1:13" ht="20.100000000000001" customHeight="1" x14ac:dyDescent="0.25">
      <c r="A187" s="101"/>
      <c r="B187" s="104" t="s">
        <v>822</v>
      </c>
      <c r="C187" s="45">
        <v>184</v>
      </c>
      <c r="D187" s="143"/>
      <c r="E187" s="143"/>
      <c r="F187" s="143"/>
      <c r="G187" s="143"/>
      <c r="H187" s="121" t="str">
        <f>CONCATENATE(Р2[[#This Row],[Пр. ПРОК]]," ",Р2[[#This Row],[Пр. МВД]]," ",Р2[[#This Row],[Пр. ГКНБ]]," ",Р2[[#This Row],[Пр. ГСИН]])</f>
        <v xml:space="preserve">   </v>
      </c>
      <c r="I187" s="89"/>
      <c r="J187" s="89"/>
      <c r="K187" s="89"/>
      <c r="L187" s="89"/>
      <c r="M187" s="90"/>
    </row>
    <row r="188" spans="1:13" ht="20.100000000000001" customHeight="1" x14ac:dyDescent="0.25">
      <c r="A188" s="101"/>
      <c r="B188" s="103" t="s">
        <v>553</v>
      </c>
      <c r="C188" s="45">
        <v>185</v>
      </c>
      <c r="D188" s="143"/>
      <c r="E188" s="143"/>
      <c r="F188" s="143"/>
      <c r="G188" s="143"/>
      <c r="H188" s="121" t="str">
        <f>CONCATENATE(Р2[[#This Row],[Пр. ПРОК]]," ",Р2[[#This Row],[Пр. МВД]]," ",Р2[[#This Row],[Пр. ГКНБ]]," ",Р2[[#This Row],[Пр. ГСИН]])</f>
        <v xml:space="preserve">   </v>
      </c>
      <c r="I188" s="89"/>
      <c r="J188" s="89"/>
      <c r="K188" s="89"/>
      <c r="L188" s="89"/>
      <c r="M188" s="90"/>
    </row>
    <row r="189" spans="1:13" ht="20.100000000000001" customHeight="1" x14ac:dyDescent="0.25">
      <c r="A189" s="101"/>
      <c r="B189" s="105" t="s">
        <v>927</v>
      </c>
      <c r="C189" s="45">
        <v>186</v>
      </c>
      <c r="D189" s="143"/>
      <c r="E189" s="143"/>
      <c r="F189" s="143"/>
      <c r="G189" s="143"/>
      <c r="H189" s="121" t="str">
        <f>CONCATENATE(Р2[[#This Row],[Пр. ПРОК]]," ",Р2[[#This Row],[Пр. МВД]]," ",Р2[[#This Row],[Пр. ГКНБ]]," ",Р2[[#This Row],[Пр. ГСИН]])</f>
        <v xml:space="preserve">   </v>
      </c>
      <c r="I189" s="89"/>
      <c r="J189" s="89"/>
      <c r="K189" s="89"/>
      <c r="L189" s="89"/>
      <c r="M189" s="90"/>
    </row>
    <row r="190" spans="1:13" ht="20.100000000000001" customHeight="1" x14ac:dyDescent="0.25">
      <c r="A190" s="101"/>
      <c r="B190" s="96" t="s">
        <v>926</v>
      </c>
      <c r="C190" s="45">
        <v>187</v>
      </c>
      <c r="D190" s="143"/>
      <c r="E190" s="143"/>
      <c r="F190" s="143"/>
      <c r="G190" s="143"/>
      <c r="H190" s="121" t="str">
        <f>CONCATENATE(Р2[[#This Row],[Пр. ПРОК]]," ",Р2[[#This Row],[Пр. МВД]]," ",Р2[[#This Row],[Пр. ГКНБ]]," ",Р2[[#This Row],[Пр. ГСИН]])</f>
        <v xml:space="preserve">   </v>
      </c>
      <c r="I190" s="89"/>
      <c r="J190" s="89"/>
      <c r="K190" s="89"/>
      <c r="L190" s="89"/>
      <c r="M190" s="90"/>
    </row>
    <row r="191" spans="1:13" ht="20.100000000000001" customHeight="1" x14ac:dyDescent="0.25">
      <c r="A191" s="101"/>
      <c r="B191" s="105" t="s">
        <v>57</v>
      </c>
      <c r="C191" s="45">
        <v>188</v>
      </c>
      <c r="D191" s="143"/>
      <c r="E191" s="164">
        <v>1213</v>
      </c>
      <c r="F191" s="143"/>
      <c r="G191" s="143"/>
      <c r="H191" s="121" t="str">
        <f>CONCATENATE(Р2[[#This Row],[Пр. ПРОК]]," ",Р2[[#This Row],[Пр. МВД]]," ",Р2[[#This Row],[Пр. ГКНБ]]," ",Р2[[#This Row],[Пр. ГСИН]])</f>
        <v xml:space="preserve">   </v>
      </c>
      <c r="I191" s="89"/>
      <c r="J191" s="89"/>
      <c r="K191" s="89"/>
      <c r="L191" s="89"/>
      <c r="M191" s="90"/>
    </row>
    <row r="192" spans="1:13" ht="20.100000000000001" customHeight="1" x14ac:dyDescent="0.25">
      <c r="A192" s="101"/>
      <c r="B192" s="105" t="s">
        <v>55</v>
      </c>
      <c r="C192" s="45">
        <v>189</v>
      </c>
      <c r="D192" s="143"/>
      <c r="E192" s="143"/>
      <c r="F192" s="143"/>
      <c r="G192" s="143"/>
      <c r="H192" s="121" t="str">
        <f>CONCATENATE(Р2[[#This Row],[Пр. ПРОК]]," ",Р2[[#This Row],[Пр. МВД]]," ",Р2[[#This Row],[Пр. ГКНБ]]," ",Р2[[#This Row],[Пр. ГСИН]])</f>
        <v xml:space="preserve">   </v>
      </c>
      <c r="I192" s="89"/>
      <c r="J192" s="89"/>
      <c r="K192" s="89"/>
      <c r="L192" s="89"/>
      <c r="M192" s="90"/>
    </row>
    <row r="193" spans="1:13" ht="20.100000000000001" customHeight="1" x14ac:dyDescent="0.25">
      <c r="A193" s="101"/>
      <c r="B193" s="105" t="s">
        <v>833</v>
      </c>
      <c r="C193" s="45">
        <v>190</v>
      </c>
      <c r="D193" s="143"/>
      <c r="E193" s="143">
        <v>16</v>
      </c>
      <c r="F193" s="143"/>
      <c r="G193" s="143"/>
      <c r="H193" s="121" t="str">
        <f>CONCATENATE(Р2[[#This Row],[Пр. ПРОК]]," ",Р2[[#This Row],[Пр. МВД]]," ",Р2[[#This Row],[Пр. ГКНБ]]," ",Р2[[#This Row],[Пр. ГСИН]])</f>
        <v xml:space="preserve">   </v>
      </c>
      <c r="I193" s="89"/>
      <c r="J193" s="89"/>
      <c r="K193" s="89"/>
      <c r="L193" s="89"/>
      <c r="M193" s="90"/>
    </row>
    <row r="194" spans="1:13" ht="20.100000000000001" customHeight="1" x14ac:dyDescent="0.25">
      <c r="A194" s="92" t="s">
        <v>516</v>
      </c>
      <c r="B194" s="102" t="s">
        <v>550</v>
      </c>
      <c r="C194" s="45">
        <v>191</v>
      </c>
      <c r="D194" s="143"/>
      <c r="E194" s="143">
        <v>313</v>
      </c>
      <c r="F194" s="143"/>
      <c r="G194" s="143"/>
      <c r="H194" s="119" t="str">
        <f>CONCATENATE(Р2[[#This Row],[Пр. ПРОК]]," ",Р2[[#This Row],[Пр. МВД]]," ",Р2[[#This Row],[Пр. ГКНБ]]," ",Р2[[#This Row],[Пр. ГСИН]])</f>
        <v xml:space="preserve">       </v>
      </c>
      <c r="I194" s="80" t="str">
        <f>CONCATENATE(IF((Р2[[#This Row],[Прокуратура]]+D195)=(D199+D202+D204+D205+D206+D207+D208+D209+D210+D211+D212),"",CONCATENATE("Прок: (",$C$194,"+",$C$195,")=(",$C$199,"+",$C$202,"+",$C$204,"+",$C$205,"+",$C$206,"+",$C$207,"+",$C$208,"+",$C$209,"+",$C$210,"+",$C$211,"+",$C$212,")"))," ",IF((Р2[[#This Row],[Прокуратура]]+D195)&gt;=(D196+D197),"",CONCATENATE("Прок: (",$C$194,"+",$C$195,")&gt;=(",$C$196,"+",$C$197,")")))</f>
        <v xml:space="preserve"> </v>
      </c>
      <c r="J194" s="80" t="str">
        <f>CONCATENATE(IF((Р2[[#This Row],[МВД]]+E195)=(E199+E202+E204+E205+E206+E207+E208+E209+E210+E211+E212),"",CONCATENATE(Р2[[#Headers],[МВД]],": (",$C$194,"+",$C$195,")=(",$C$199,"+",$C$202,"+",$C$204,"+",$C$205,"+",$C$206,"+",$C$207,"+",$C$208,"+",$C$209,"+",$C$210,"+",$C$211,"+",$C$212,")"))," ",IF((Р2[[#This Row],[МВД]]+E195)&gt;=(E196+E197),"",CONCATENATE(Р2[[#Headers],[МВД]],": (",$C$194,"+",$C$195,")&gt;=(",$C$196,"+",$C$197,")")))</f>
        <v xml:space="preserve"> </v>
      </c>
      <c r="K194" s="80" t="str">
        <f>CONCATENATE(IF((Р2[[#This Row],[ГКНБ]]+F195)=(F199+F202+F204+F205+F206+F207+F208+F209+F210+F211+F212),"",CONCATENATE(Р2[[#Headers],[ГКНБ]],": (",$C$194,"+",$C$195,")=(",$C$199,"+",$C$202,"+",$C$204,"+",$C$205,"+",$C$206,"+",$C$207,"+",$C$208,"+",$C$209,"+",$C$210,"+",$C$211,"+",$C$212,")"))," ",IF((Р2[[#This Row],[ГКНБ]]+F195)&gt;=(F196+F197),"",CONCATENATE(Р2[[#Headers],[ГКНБ]],": (",$C$194,"+",$C$195,")&gt;=(",$C$196,"+",$C$197,")")))</f>
        <v xml:space="preserve"> </v>
      </c>
      <c r="L194" s="80" t="str">
        <f>CONCATENATE(IF((Р2[[#This Row],[ГСИН]]+G195)=(G199+G202+G204+G205+G206+G207+G208+G209+G210+G211+G212),"",CONCATENATE(Р2[[#Headers],[ГСИН]],": (",$C$194,"+",$C$195,")=(",$C$199,"+",$C$202,"+",$C$204,"+",$C$205,"+",$C$206,"+",$C$207,"+",$C$208,"+",$C$209,"+",$C$210,"+",$C$211,"+",$C$212,")"))," ",IF((Р2[[#This Row],[ГСИН]]+G195)&gt;=(G196+G197),"",CONCATENATE(Р2[[#Headers],[ГСИН]],": (",$C$194,"+",$C$195,")&gt;=(",$C$196,"+",$C$197,")")))</f>
        <v xml:space="preserve"> </v>
      </c>
      <c r="M194" s="71"/>
    </row>
    <row r="195" spans="1:13" ht="20.100000000000001" customHeight="1" x14ac:dyDescent="0.25">
      <c r="A195" s="92" t="s">
        <v>516</v>
      </c>
      <c r="B195" s="95" t="s">
        <v>61</v>
      </c>
      <c r="C195" s="45">
        <v>192</v>
      </c>
      <c r="D195" s="143"/>
      <c r="E195" s="143"/>
      <c r="F195" s="143"/>
      <c r="G195" s="143"/>
      <c r="H195" s="118" t="str">
        <f>CONCATENATE(Р2[[#This Row],[Пр. ПРОК]]," ",Р2[[#This Row],[Пр. МВД]]," ",Р2[[#This Row],[Пр. ГКНБ]]," ",Р2[[#This Row],[Пр. ГСИН]])</f>
        <v xml:space="preserve">   </v>
      </c>
      <c r="I195" s="70"/>
      <c r="J195" s="70"/>
      <c r="K195" s="70"/>
      <c r="L195" s="70"/>
      <c r="M195" s="71"/>
    </row>
    <row r="196" spans="1:13" ht="20.100000000000001" customHeight="1" x14ac:dyDescent="0.25">
      <c r="A196" s="92" t="s">
        <v>516</v>
      </c>
      <c r="B196" s="96" t="s">
        <v>919</v>
      </c>
      <c r="C196" s="45">
        <v>193</v>
      </c>
      <c r="D196" s="143"/>
      <c r="E196" s="143">
        <v>23</v>
      </c>
      <c r="F196" s="143"/>
      <c r="G196" s="143"/>
      <c r="H196" s="118" t="str">
        <f>CONCATENATE(Р2[[#This Row],[Пр. ПРОК]]," ",Р2[[#This Row],[Пр. МВД]]," ",Р2[[#This Row],[Пр. ГКНБ]]," ",Р2[[#This Row],[Пр. ГСИН]])</f>
        <v xml:space="preserve">   </v>
      </c>
      <c r="I196" s="70"/>
      <c r="J196" s="70"/>
      <c r="K196" s="70"/>
      <c r="L196" s="70"/>
      <c r="M196" s="71"/>
    </row>
    <row r="197" spans="1:13" ht="20.100000000000001" customHeight="1" x14ac:dyDescent="0.25">
      <c r="A197" s="92" t="s">
        <v>516</v>
      </c>
      <c r="B197" s="96" t="s">
        <v>920</v>
      </c>
      <c r="C197" s="45">
        <v>194</v>
      </c>
      <c r="D197" s="143"/>
      <c r="E197" s="143">
        <v>3</v>
      </c>
      <c r="F197" s="143"/>
      <c r="G197" s="143"/>
      <c r="H197" s="118" t="str">
        <f>CONCATENATE(Р2[[#This Row],[Пр. ПРОК]]," ",Р2[[#This Row],[Пр. МВД]]," ",Р2[[#This Row],[Пр. ГКНБ]]," ",Р2[[#This Row],[Пр. ГСИН]])</f>
        <v xml:space="preserve">   </v>
      </c>
      <c r="I197" s="70"/>
      <c r="J197" s="70"/>
      <c r="K197" s="70"/>
      <c r="L197" s="70"/>
      <c r="M197" s="71"/>
    </row>
    <row r="198" spans="1:13" ht="20.100000000000001" customHeight="1" x14ac:dyDescent="0.25">
      <c r="A198" s="92" t="s">
        <v>516</v>
      </c>
      <c r="B198" s="95" t="s">
        <v>849</v>
      </c>
      <c r="C198" s="45">
        <v>195</v>
      </c>
      <c r="D198" s="143"/>
      <c r="E198" s="143"/>
      <c r="F198" s="143"/>
      <c r="G198" s="143"/>
      <c r="H198" s="118" t="str">
        <f>CONCATENATE(Р2[[#This Row],[Пр. ПРОК]]," ",Р2[[#This Row],[Пр. МВД]]," ",Р2[[#This Row],[Пр. ГКНБ]]," ",Р2[[#This Row],[Пр. ГСИН]])</f>
        <v xml:space="preserve">   </v>
      </c>
      <c r="I198" s="70"/>
      <c r="J198" s="70"/>
      <c r="K198" s="70"/>
      <c r="L198" s="70"/>
      <c r="M198" s="71"/>
    </row>
    <row r="199" spans="1:13" ht="20.100000000000001" customHeight="1" x14ac:dyDescent="0.25">
      <c r="A199" s="92" t="s">
        <v>516</v>
      </c>
      <c r="B199" s="102" t="s">
        <v>59</v>
      </c>
      <c r="C199" s="45">
        <v>196</v>
      </c>
      <c r="D199" s="143"/>
      <c r="E199" s="143">
        <v>244</v>
      </c>
      <c r="F199" s="143"/>
      <c r="G199" s="143"/>
      <c r="H199" s="119" t="str">
        <f>CONCATENATE(Р2[[#This Row],[Пр. ПРОК]]," ",Р2[[#This Row],[Пр. МВД]]," ",Р2[[#This Row],[Пр. ГКНБ]]," ",Р2[[#This Row],[Пр. ГСИН]])</f>
        <v xml:space="preserve">   </v>
      </c>
      <c r="I199" s="80" t="str">
        <f>IF(Р2[[#This Row],[Прокуратура]]&gt;=(D200+D201),"",CONCATENATE("Прок: ",$C$199,"&gt;=(",$C$200,"+",$C$201,")"))</f>
        <v/>
      </c>
      <c r="J199" s="80" t="str">
        <f>IF(Р2[[#This Row],[МВД]]&gt;=(E200+E201),"",CONCATENATE(Р2[[#Headers],[МВД]],": ",$C$199,"&gt;=(",$C$200,"+",$C$201,")"))</f>
        <v/>
      </c>
      <c r="K199" s="80" t="str">
        <f>IF(Р2[[#This Row],[ГКНБ]]&gt;=(F200+F201),"",CONCATENATE(Р2[[#Headers],[ГКНБ]],": ",$C$199,"&gt;=(",$C$200,"+",$C$201,")"))</f>
        <v/>
      </c>
      <c r="L199" s="80" t="str">
        <f>IF(Р2[[#This Row],[ГСИН]]&gt;=(G200+G201),"",CONCATENATE(Р2[[#Headers],[ГСИН]],": ",$C$199,"&gt;=(",$C$200,"+",$C$201,")"))</f>
        <v/>
      </c>
      <c r="M199" s="71"/>
    </row>
    <row r="200" spans="1:13" ht="20.100000000000001" customHeight="1" x14ac:dyDescent="0.25">
      <c r="A200" s="92" t="s">
        <v>516</v>
      </c>
      <c r="B200" s="96" t="s">
        <v>36</v>
      </c>
      <c r="C200" s="45">
        <v>197</v>
      </c>
      <c r="D200" s="143"/>
      <c r="E200" s="143">
        <v>22</v>
      </c>
      <c r="F200" s="143"/>
      <c r="G200" s="143"/>
      <c r="H200" s="118" t="str">
        <f>CONCATENATE(Р2[[#This Row],[Пр. ПРОК]]," ",Р2[[#This Row],[Пр. МВД]]," ",Р2[[#This Row],[Пр. ГКНБ]]," ",Р2[[#This Row],[Пр. ГСИН]])</f>
        <v xml:space="preserve">   </v>
      </c>
      <c r="I200" s="70"/>
      <c r="J200" s="70"/>
      <c r="K200" s="70"/>
      <c r="L200" s="70"/>
      <c r="M200" s="71"/>
    </row>
    <row r="201" spans="1:13" ht="20.100000000000001" customHeight="1" x14ac:dyDescent="0.25">
      <c r="A201" s="92" t="s">
        <v>516</v>
      </c>
      <c r="B201" s="96" t="s">
        <v>826</v>
      </c>
      <c r="C201" s="45">
        <v>198</v>
      </c>
      <c r="D201" s="143"/>
      <c r="E201" s="143">
        <v>4</v>
      </c>
      <c r="F201" s="143"/>
      <c r="G201" s="143"/>
      <c r="H201" s="118" t="str">
        <f>CONCATENATE(Р2[[#This Row],[Пр. ПРОК]]," ",Р2[[#This Row],[Пр. МВД]]," ",Р2[[#This Row],[Пр. ГКНБ]]," ",Р2[[#This Row],[Пр. ГСИН]])</f>
        <v xml:space="preserve">   </v>
      </c>
      <c r="I201" s="70"/>
      <c r="J201" s="70"/>
      <c r="K201" s="70"/>
      <c r="L201" s="70"/>
      <c r="M201" s="71"/>
    </row>
    <row r="202" spans="1:13" ht="20.100000000000001" customHeight="1" x14ac:dyDescent="0.25">
      <c r="A202" s="92" t="s">
        <v>516</v>
      </c>
      <c r="B202" s="95" t="s">
        <v>58</v>
      </c>
      <c r="C202" s="45">
        <v>199</v>
      </c>
      <c r="D202" s="143"/>
      <c r="E202" s="143">
        <v>66</v>
      </c>
      <c r="F202" s="143"/>
      <c r="G202" s="143"/>
      <c r="H202" s="118" t="str">
        <f>CONCATENATE(Р2[[#This Row],[Пр. ПРОК]]," ",Р2[[#This Row],[Пр. МВД]]," ",Р2[[#This Row],[Пр. ГКНБ]]," ",Р2[[#This Row],[Пр. ГСИН]])</f>
        <v xml:space="preserve">   </v>
      </c>
      <c r="I202" s="70"/>
      <c r="J202" s="70"/>
      <c r="K202" s="70"/>
      <c r="L202" s="70"/>
      <c r="M202" s="71"/>
    </row>
    <row r="203" spans="1:13" ht="20.100000000000001" customHeight="1" x14ac:dyDescent="0.25">
      <c r="A203" s="92" t="s">
        <v>516</v>
      </c>
      <c r="B203" s="105" t="s">
        <v>896</v>
      </c>
      <c r="C203" s="45">
        <v>200</v>
      </c>
      <c r="D203" s="143"/>
      <c r="E203" s="143"/>
      <c r="F203" s="143"/>
      <c r="G203" s="143"/>
      <c r="H203" s="119" t="str">
        <f>CONCATENATE(Р2[[#This Row],[Пр. ПРОК]]," ",Р2[[#This Row],[Пр. МВД]]," ",Р2[[#This Row],[Пр. ГКНБ]]," ",Р2[[#This Row],[Пр. ГСИН]])</f>
        <v xml:space="preserve">   </v>
      </c>
      <c r="I203" s="77" t="str">
        <f>IF(Р2[[#This Row],[Прокуратура]]&lt;=D199,"",CONCATENATE("Прок: ",$C$203,"&lt;=",$C$199))</f>
        <v/>
      </c>
      <c r="J203" s="77" t="str">
        <f>IF(Р2[[#This Row],[МВД]]&lt;=E199,"",CONCATENATE(Р2[[#Headers],[МВД]],": ",$C$203,"&lt;=",$C$199))</f>
        <v/>
      </c>
      <c r="K203" s="77" t="str">
        <f>IF(Р2[[#This Row],[ГКНБ]]&lt;=F199,"",CONCATENATE(Р2[[#Headers],[ГКНБ]],": ",$C$203,"&lt;=",$C$199))</f>
        <v/>
      </c>
      <c r="L203" s="77" t="str">
        <f>IF(Р2[[#This Row],[ГСИН]]&lt;=G199,"",CONCATENATE(Р2[[#Headers],[ГСИН]],": ",$C$203,"&lt;=",$C$199))</f>
        <v/>
      </c>
      <c r="M203" s="71"/>
    </row>
    <row r="204" spans="1:13" ht="20.100000000000001" customHeight="1" x14ac:dyDescent="0.25">
      <c r="A204" s="92" t="s">
        <v>516</v>
      </c>
      <c r="B204" s="95" t="s">
        <v>57</v>
      </c>
      <c r="C204" s="45">
        <v>201</v>
      </c>
      <c r="D204" s="143"/>
      <c r="E204" s="143"/>
      <c r="F204" s="143"/>
      <c r="G204" s="143"/>
      <c r="H204" s="118" t="str">
        <f>CONCATENATE(Р2[[#This Row],[Пр. ПРОК]]," ",Р2[[#This Row],[Пр. МВД]]," ",Р2[[#This Row],[Пр. ГКНБ]]," ",Р2[[#This Row],[Пр. ГСИН]])</f>
        <v xml:space="preserve">   </v>
      </c>
      <c r="I204" s="70"/>
      <c r="J204" s="70"/>
      <c r="K204" s="70"/>
      <c r="L204" s="70"/>
      <c r="M204" s="71"/>
    </row>
    <row r="205" spans="1:13" ht="20.100000000000001" customHeight="1" x14ac:dyDescent="0.25">
      <c r="A205" s="92" t="s">
        <v>516</v>
      </c>
      <c r="B205" s="95" t="s">
        <v>56</v>
      </c>
      <c r="C205" s="45">
        <v>202</v>
      </c>
      <c r="D205" s="143"/>
      <c r="E205" s="143"/>
      <c r="F205" s="143"/>
      <c r="G205" s="143"/>
      <c r="H205" s="118" t="str">
        <f>CONCATENATE(Р2[[#This Row],[Пр. ПРОК]]," ",Р2[[#This Row],[Пр. МВД]]," ",Р2[[#This Row],[Пр. ГКНБ]]," ",Р2[[#This Row],[Пр. ГСИН]])</f>
        <v xml:space="preserve">   </v>
      </c>
      <c r="I205" s="70"/>
      <c r="J205" s="70"/>
      <c r="K205" s="70"/>
      <c r="L205" s="70"/>
      <c r="M205" s="71"/>
    </row>
    <row r="206" spans="1:13" ht="20.100000000000001" customHeight="1" x14ac:dyDescent="0.25">
      <c r="A206" s="92" t="s">
        <v>516</v>
      </c>
      <c r="B206" s="95" t="s">
        <v>55</v>
      </c>
      <c r="C206" s="45">
        <v>203</v>
      </c>
      <c r="D206" s="143"/>
      <c r="E206" s="143"/>
      <c r="F206" s="143"/>
      <c r="G206" s="143"/>
      <c r="H206" s="118" t="str">
        <f>CONCATENATE(Р2[[#This Row],[Пр. ПРОК]]," ",Р2[[#This Row],[Пр. МВД]]," ",Р2[[#This Row],[Пр. ГКНБ]]," ",Р2[[#This Row],[Пр. ГСИН]])</f>
        <v xml:space="preserve">   </v>
      </c>
      <c r="I206" s="70"/>
      <c r="J206" s="70"/>
      <c r="K206" s="70"/>
      <c r="L206" s="70"/>
      <c r="M206" s="71"/>
    </row>
    <row r="207" spans="1:13" ht="15.75" x14ac:dyDescent="0.25">
      <c r="A207" s="92" t="s">
        <v>516</v>
      </c>
      <c r="B207" s="95" t="s">
        <v>833</v>
      </c>
      <c r="C207" s="45">
        <v>204</v>
      </c>
      <c r="D207" s="143"/>
      <c r="E207" s="143">
        <v>3</v>
      </c>
      <c r="F207" s="143"/>
      <c r="G207" s="143"/>
      <c r="H207" s="118" t="str">
        <f>CONCATENATE(Р2[[#This Row],[Пр. ПРОК]]," ",Р2[[#This Row],[Пр. МВД]]," ",Р2[[#This Row],[Пр. ГКНБ]]," ",Р2[[#This Row],[Пр. ГСИН]])</f>
        <v xml:space="preserve">   </v>
      </c>
      <c r="I207" s="70"/>
      <c r="J207" s="70"/>
      <c r="K207" s="70"/>
      <c r="L207" s="70"/>
      <c r="M207" s="71"/>
    </row>
    <row r="208" spans="1:13" ht="20.100000000000001" customHeight="1" x14ac:dyDescent="0.25">
      <c r="A208" s="92" t="s">
        <v>516</v>
      </c>
      <c r="B208" s="102" t="s">
        <v>897</v>
      </c>
      <c r="C208" s="45">
        <v>205</v>
      </c>
      <c r="D208" s="143"/>
      <c r="E208" s="143"/>
      <c r="F208" s="143"/>
      <c r="G208" s="143"/>
      <c r="H208" s="118" t="str">
        <f>CONCATENATE(Р2[[#This Row],[Пр. ПРОК]]," ",Р2[[#This Row],[Пр. МВД]]," ",Р2[[#This Row],[Пр. ГКНБ]]," ",Р2[[#This Row],[Пр. ГСИН]])</f>
        <v xml:space="preserve">   </v>
      </c>
      <c r="I208" s="70"/>
      <c r="J208" s="70"/>
      <c r="K208" s="70"/>
      <c r="L208" s="70"/>
      <c r="M208" s="71"/>
    </row>
    <row r="209" spans="1:13" ht="20.100000000000001" customHeight="1" x14ac:dyDescent="0.25">
      <c r="A209" s="92" t="s">
        <v>516</v>
      </c>
      <c r="B209" s="95" t="s">
        <v>841</v>
      </c>
      <c r="C209" s="45">
        <v>206</v>
      </c>
      <c r="D209" s="143"/>
      <c r="E209" s="143"/>
      <c r="F209" s="143"/>
      <c r="G209" s="143"/>
      <c r="H209" s="118" t="str">
        <f>CONCATENATE(Р2[[#This Row],[Пр. ПРОК]]," ",Р2[[#This Row],[Пр. МВД]]," ",Р2[[#This Row],[Пр. ГКНБ]]," ",Р2[[#This Row],[Пр. ГСИН]])</f>
        <v xml:space="preserve">   </v>
      </c>
      <c r="I209" s="70"/>
      <c r="J209" s="70"/>
      <c r="K209" s="70"/>
      <c r="L209" s="70"/>
      <c r="M209" s="71"/>
    </row>
    <row r="210" spans="1:13" ht="20.100000000000001" customHeight="1" x14ac:dyDescent="0.25">
      <c r="A210" s="92" t="s">
        <v>516</v>
      </c>
      <c r="B210" s="95" t="s">
        <v>842</v>
      </c>
      <c r="C210" s="45">
        <v>207</v>
      </c>
      <c r="D210" s="143"/>
      <c r="E210" s="143"/>
      <c r="F210" s="143"/>
      <c r="G210" s="143"/>
      <c r="H210" s="118" t="str">
        <f>CONCATENATE(Р2[[#This Row],[Пр. ПРОК]]," ",Р2[[#This Row],[Пр. МВД]]," ",Р2[[#This Row],[Пр. ГКНБ]]," ",Р2[[#This Row],[Пр. ГСИН]])</f>
        <v xml:space="preserve">   </v>
      </c>
      <c r="I210" s="70"/>
      <c r="J210" s="70"/>
      <c r="K210" s="70"/>
      <c r="L210" s="70"/>
      <c r="M210" s="71"/>
    </row>
    <row r="211" spans="1:13" ht="20.100000000000001" customHeight="1" x14ac:dyDescent="0.25">
      <c r="A211" s="92" t="s">
        <v>516</v>
      </c>
      <c r="B211" s="95" t="s">
        <v>866</v>
      </c>
      <c r="C211" s="45">
        <v>208</v>
      </c>
      <c r="D211" s="143"/>
      <c r="E211" s="143"/>
      <c r="F211" s="143"/>
      <c r="G211" s="143"/>
      <c r="H211" s="118" t="str">
        <f>CONCATENATE(Р2[[#This Row],[Пр. ПРОК]]," ",Р2[[#This Row],[Пр. МВД]]," ",Р2[[#This Row],[Пр. ГКНБ]]," ",Р2[[#This Row],[Пр. ГСИН]])</f>
        <v xml:space="preserve">   </v>
      </c>
      <c r="I211" s="70"/>
      <c r="J211" s="70"/>
      <c r="K211" s="70"/>
      <c r="L211" s="70"/>
      <c r="M211" s="71"/>
    </row>
    <row r="212" spans="1:13" ht="20.100000000000001" customHeight="1" x14ac:dyDescent="0.25">
      <c r="A212" s="92" t="s">
        <v>516</v>
      </c>
      <c r="B212" s="95" t="s">
        <v>843</v>
      </c>
      <c r="C212" s="45">
        <v>209</v>
      </c>
      <c r="D212" s="143"/>
      <c r="E212" s="143"/>
      <c r="F212" s="143"/>
      <c r="G212" s="143"/>
      <c r="H212" s="118" t="str">
        <f>CONCATENATE(Р2[[#This Row],[Пр. ПРОК]]," ",Р2[[#This Row],[Пр. МВД]]," ",Р2[[#This Row],[Пр. ГКНБ]]," ",Р2[[#This Row],[Пр. ГСИН]])</f>
        <v xml:space="preserve">   </v>
      </c>
      <c r="I212" s="70"/>
      <c r="J212" s="70"/>
      <c r="K212" s="70"/>
      <c r="L212" s="70"/>
      <c r="M212" s="71"/>
    </row>
    <row r="213" spans="1:13" ht="20.100000000000001" customHeight="1" x14ac:dyDescent="0.25">
      <c r="A213" s="92" t="s">
        <v>516</v>
      </c>
      <c r="B213" s="102" t="s">
        <v>54</v>
      </c>
      <c r="C213" s="45">
        <v>210</v>
      </c>
      <c r="D213" s="143"/>
      <c r="E213" s="143"/>
      <c r="F213" s="143"/>
      <c r="G213" s="143"/>
      <c r="H213" s="118" t="str">
        <f>CONCATENATE(Р2[[#This Row],[Пр. ПРОК]]," ",Р2[[#This Row],[Пр. МВД]]," ",Р2[[#This Row],[Пр. ГКНБ]]," ",Р2[[#This Row],[Пр. ГСИН]])</f>
        <v xml:space="preserve">   </v>
      </c>
      <c r="I213" s="70"/>
      <c r="J213" s="70"/>
      <c r="K213" s="70"/>
      <c r="L213" s="70"/>
      <c r="M213" s="71"/>
    </row>
    <row r="214" spans="1:13" ht="20.100000000000001" customHeight="1" x14ac:dyDescent="0.25">
      <c r="A214" s="91" t="s">
        <v>517</v>
      </c>
      <c r="B214" s="147" t="s">
        <v>545</v>
      </c>
      <c r="C214" s="45">
        <v>211</v>
      </c>
      <c r="D214" s="145"/>
      <c r="E214" s="145"/>
      <c r="F214" s="145"/>
      <c r="G214" s="145"/>
      <c r="H214" s="118" t="str">
        <f>CONCATENATE(Р2[[#This Row],[Пр. ПРОК]]," ",Р2[[#This Row],[Пр. МВД]]," ",Р2[[#This Row],[Пр. ГКНБ]]," ",Р2[[#This Row],[Пр. ГСИН]])</f>
        <v xml:space="preserve">   </v>
      </c>
      <c r="I214" s="70"/>
      <c r="J214" s="70"/>
      <c r="K214" s="70"/>
      <c r="L214" s="70"/>
      <c r="M214" s="71"/>
    </row>
    <row r="215" spans="1:13" ht="20.100000000000001" customHeight="1" x14ac:dyDescent="0.25">
      <c r="A215" s="92" t="s">
        <v>517</v>
      </c>
      <c r="B215" s="128" t="s">
        <v>53</v>
      </c>
      <c r="C215" s="45">
        <v>212</v>
      </c>
      <c r="D215" s="143"/>
      <c r="E215" s="164">
        <v>7</v>
      </c>
      <c r="F215" s="143"/>
      <c r="G215" s="143"/>
      <c r="H215" s="119" t="str">
        <f>CONCATENATE(Р2[[#This Row],[Пр. ПРОК]]," ",Р2[[#This Row],[Пр. МВД]]," ",Р2[[#This Row],[Пр. ГКНБ]]," ",Р2[[#This Row],[Пр. ГСИН]])</f>
        <v xml:space="preserve">   </v>
      </c>
      <c r="I215" s="77" t="str">
        <f>IF(Р2[[#This Row],[Прокуратура]]&gt;=D216,"",CONCATENATE("Прок: ",$C$215,"&gt;=",$C$216))</f>
        <v/>
      </c>
      <c r="J215" s="77" t="str">
        <f>IF(Р2[[#This Row],[МВД]]&gt;=E216,"",CONCATENATE(Р2[[#Headers],[МВД]],": ",$C$215,"&gt;=",$C$216))</f>
        <v/>
      </c>
      <c r="K215" s="77" t="str">
        <f>IF(Р2[[#This Row],[ГКНБ]]&gt;=F216,"",CONCATENATE(Р2[[#Headers],[ГКНБ]],": ",$C$215,"&gt;=",$C$216))</f>
        <v/>
      </c>
      <c r="L215" s="77" t="str">
        <f>IF(Р2[[#This Row],[ГСИН]]&gt;=G216,"",CONCATENATE(Р2[[#Headers],[ГСИН]],": ",$C$215,"&gt;=",$C$216))</f>
        <v/>
      </c>
      <c r="M215" s="71"/>
    </row>
    <row r="216" spans="1:13" ht="20.100000000000001" customHeight="1" x14ac:dyDescent="0.25">
      <c r="A216" s="92" t="s">
        <v>517</v>
      </c>
      <c r="B216" s="107" t="s">
        <v>52</v>
      </c>
      <c r="C216" s="45">
        <v>213</v>
      </c>
      <c r="D216" s="143"/>
      <c r="E216" s="164">
        <v>7</v>
      </c>
      <c r="F216" s="143"/>
      <c r="G216" s="143"/>
      <c r="H216" s="118" t="str">
        <f>CONCATENATE(Р2[[#This Row],[Пр. ПРОК]]," ",Р2[[#This Row],[Пр. МВД]]," ",Р2[[#This Row],[Пр. ГКНБ]]," ",Р2[[#This Row],[Пр. ГСИН]])</f>
        <v xml:space="preserve">   </v>
      </c>
      <c r="I216" s="70"/>
      <c r="J216" s="70"/>
      <c r="K216" s="70"/>
      <c r="L216" s="70"/>
      <c r="M216" s="71"/>
    </row>
    <row r="217" spans="1:13" ht="20.100000000000001" customHeight="1" x14ac:dyDescent="0.25">
      <c r="A217" s="92" t="s">
        <v>517</v>
      </c>
      <c r="B217" s="128" t="s">
        <v>47</v>
      </c>
      <c r="C217" s="45">
        <v>214</v>
      </c>
      <c r="D217" s="143"/>
      <c r="E217" s="164">
        <v>1</v>
      </c>
      <c r="F217" s="143"/>
      <c r="G217" s="143"/>
      <c r="H217" s="119" t="str">
        <f>CONCATENATE(Р2[[#This Row],[Пр. ПРОК]]," ",Р2[[#This Row],[Пр. МВД]]," ",Р2[[#This Row],[Пр. ГКНБ]]," ",Р2[[#This Row],[Пр. ГСИН]])</f>
        <v xml:space="preserve">       </v>
      </c>
      <c r="I217" s="80" t="str">
        <f>CONCATENATE(IF(Р2[[#This Row],[Прокуратура]]&gt;=D218,"",CONCATENATE("Прок: ",$C$217,"&gt;=",$C$218))," ",IF(Р2[[#This Row],[Прокуратура]]&gt;=D219,"",CONCATENATE("Прок: ",$C$217,"&gt;=",$C$219)))</f>
        <v xml:space="preserve"> </v>
      </c>
      <c r="J217" s="80" t="str">
        <f>CONCATENATE(IF(Р2[[#This Row],[МВД]]&gt;=E218,"",CONCATENATE(Р2[[#Headers],[МВД]],": ",$C$217,"&gt;=",$C$218))," ",IF(Р2[[#This Row],[МВД]]&gt;=E219,"",CONCATENATE(Р2[[#Headers],[МВД]],": ",$C$217,"&gt;=",$C$219)))</f>
        <v xml:space="preserve"> </v>
      </c>
      <c r="K217" s="80" t="str">
        <f>CONCATENATE(IF(Р2[[#This Row],[ГКНБ]]&gt;=F218,"",CONCATENATE(Р2[[#Headers],[ГКНБ]],": ",$C$217,"&gt;=",$C$218))," ",IF(Р2[[#This Row],[ГКНБ]]&gt;=F219,"",CONCATENATE(Р2[[#Headers],[ГКНБ]],": ",$C$217,"&gt;=",$C$219)))</f>
        <v xml:space="preserve"> </v>
      </c>
      <c r="L217" s="80" t="str">
        <f>CONCATENATE(IF(Р2[[#This Row],[ГСИН]]&gt;=G218,"",CONCATENATE(Р2[[#Headers],[ГСИН]],": ",$C$217,"&gt;=",$C$218))," ",IF(Р2[[#This Row],[ГСИН]]&gt;=G219,"",CONCATENATE(Р2[[#Headers],[ГСИН]],": ",$C$217,"&gt;=",$C$219)))</f>
        <v xml:space="preserve"> </v>
      </c>
      <c r="M217" s="71"/>
    </row>
    <row r="218" spans="1:13" ht="20.100000000000001" customHeight="1" x14ac:dyDescent="0.25">
      <c r="A218" s="92" t="s">
        <v>517</v>
      </c>
      <c r="B218" s="106" t="s">
        <v>51</v>
      </c>
      <c r="C218" s="45">
        <v>215</v>
      </c>
      <c r="D218" s="143"/>
      <c r="E218" s="164"/>
      <c r="F218" s="143"/>
      <c r="G218" s="143"/>
      <c r="H218" s="118" t="str">
        <f>CONCATENATE(Р2[[#This Row],[Пр. ПРОК]]," ",Р2[[#This Row],[Пр. МВД]]," ",Р2[[#This Row],[Пр. ГКНБ]]," ",Р2[[#This Row],[Пр. ГСИН]])</f>
        <v xml:space="preserve">   </v>
      </c>
      <c r="I218" s="70"/>
      <c r="J218" s="70"/>
      <c r="K218" s="70"/>
      <c r="L218" s="70"/>
      <c r="M218" s="71"/>
    </row>
    <row r="219" spans="1:13" ht="20.100000000000001" customHeight="1" x14ac:dyDescent="0.25">
      <c r="A219" s="92" t="s">
        <v>517</v>
      </c>
      <c r="B219" s="106" t="s">
        <v>50</v>
      </c>
      <c r="C219" s="45">
        <v>216</v>
      </c>
      <c r="D219" s="143"/>
      <c r="E219" s="164"/>
      <c r="F219" s="143"/>
      <c r="G219" s="143"/>
      <c r="H219" s="119" t="str">
        <f>CONCATENATE(Р2[[#This Row],[Пр. ПРОК]]," ",Р2[[#This Row],[Пр. МВД]]," ",Р2[[#This Row],[Пр. ГКНБ]]," ",Р2[[#This Row],[Пр. ГСИН]])</f>
        <v xml:space="preserve">   </v>
      </c>
      <c r="I219" s="77" t="str">
        <f>IF(Р2[[#This Row],[Прокуратура]]&gt;=D220,"",CONCATENATE("Прок: ",$C$219,"&gt;=",$C$220))</f>
        <v/>
      </c>
      <c r="J219" s="77" t="str">
        <f>IF(Р2[[#This Row],[МВД]]&gt;=E220,"",CONCATENATE(Р2[[#Headers],[МВД]],": ",$C$219,"&gt;=",$C$220))</f>
        <v/>
      </c>
      <c r="K219" s="77" t="str">
        <f>IF(Р2[[#This Row],[ГКНБ]]&gt;=F220,"",CONCATENATE(Р2[[#Headers],[ГКНБ]],": ",$C$219,"&gt;=",$C$220))</f>
        <v/>
      </c>
      <c r="L219" s="77" t="str">
        <f>IF(Р2[[#This Row],[ГСИН]]&gt;=G220,"",CONCATENATE(Р2[[#Headers],[ГСИН]],": ",$C$219,"&gt;=",$C$220))</f>
        <v/>
      </c>
      <c r="M219" s="71"/>
    </row>
    <row r="220" spans="1:13" ht="20.100000000000001" customHeight="1" x14ac:dyDescent="0.25">
      <c r="A220" s="92" t="s">
        <v>517</v>
      </c>
      <c r="B220" s="107" t="s">
        <v>49</v>
      </c>
      <c r="C220" s="45">
        <v>217</v>
      </c>
      <c r="D220" s="143"/>
      <c r="E220" s="164"/>
      <c r="F220" s="143"/>
      <c r="G220" s="143"/>
      <c r="H220" s="118" t="str">
        <f>CONCATENATE(Р2[[#This Row],[Пр. ПРОК]]," ",Р2[[#This Row],[Пр. МВД]]," ",Р2[[#This Row],[Пр. ГКНБ]]," ",Р2[[#This Row],[Пр. ГСИН]])</f>
        <v xml:space="preserve">   </v>
      </c>
      <c r="I220" s="70"/>
      <c r="J220" s="70"/>
      <c r="K220" s="70"/>
      <c r="L220" s="70"/>
      <c r="M220" s="71"/>
    </row>
    <row r="221" spans="1:13" ht="20.100000000000001" customHeight="1" x14ac:dyDescent="0.25">
      <c r="A221" s="92" t="s">
        <v>517</v>
      </c>
      <c r="B221" s="128" t="s">
        <v>879</v>
      </c>
      <c r="C221" s="45">
        <v>218</v>
      </c>
      <c r="D221" s="143"/>
      <c r="E221" s="164"/>
      <c r="F221" s="143"/>
      <c r="G221" s="143"/>
      <c r="H221" s="118" t="str">
        <f>CONCATENATE(Р2[[#This Row],[Пр. ПРОК]]," ",Р2[[#This Row],[Пр. МВД]]," ",Р2[[#This Row],[Пр. ГКНБ]]," ",Р2[[#This Row],[Пр. ГСИН]])</f>
        <v xml:space="preserve">   </v>
      </c>
      <c r="I221" s="70"/>
      <c r="J221" s="70"/>
      <c r="K221" s="70"/>
      <c r="L221" s="70"/>
      <c r="M221" s="71"/>
    </row>
    <row r="222" spans="1:13" ht="20.100000000000001" customHeight="1" x14ac:dyDescent="0.25">
      <c r="A222" s="92" t="s">
        <v>517</v>
      </c>
      <c r="B222" s="128" t="s">
        <v>44</v>
      </c>
      <c r="C222" s="45">
        <v>219</v>
      </c>
      <c r="D222" s="143"/>
      <c r="E222" s="164">
        <v>1</v>
      </c>
      <c r="F222" s="143"/>
      <c r="G222" s="143"/>
      <c r="H222" s="118" t="str">
        <f>CONCATENATE(Р2[[#This Row],[Пр. ПРОК]]," ",Р2[[#This Row],[Пр. МВД]]," ",Р2[[#This Row],[Пр. ГКНБ]]," ",Р2[[#This Row],[Пр. ГСИН]])</f>
        <v xml:space="preserve">   </v>
      </c>
      <c r="I222" s="70"/>
      <c r="J222" s="70"/>
      <c r="K222" s="70"/>
      <c r="L222" s="70"/>
      <c r="M222" s="71"/>
    </row>
    <row r="223" spans="1:13" ht="20.100000000000001" customHeight="1" x14ac:dyDescent="0.25">
      <c r="A223" s="92" t="s">
        <v>517</v>
      </c>
      <c r="B223" s="128" t="s">
        <v>43</v>
      </c>
      <c r="C223" s="45">
        <v>220</v>
      </c>
      <c r="D223" s="143"/>
      <c r="E223" s="143"/>
      <c r="F223" s="143"/>
      <c r="G223" s="143"/>
      <c r="H223" s="118" t="str">
        <f>CONCATENATE(Р2[[#This Row],[Пр. ПРОК]]," ",Р2[[#This Row],[Пр. МВД]]," ",Р2[[#This Row],[Пр. ГКНБ]]," ",Р2[[#This Row],[Пр. ГСИН]])</f>
        <v xml:space="preserve">   </v>
      </c>
      <c r="I223" s="70"/>
      <c r="J223" s="70"/>
      <c r="K223" s="70"/>
      <c r="L223" s="70"/>
      <c r="M223" s="71"/>
    </row>
    <row r="224" spans="1:13" ht="20.100000000000001" customHeight="1" x14ac:dyDescent="0.25">
      <c r="A224" s="92" t="s">
        <v>517</v>
      </c>
      <c r="B224" s="108" t="s">
        <v>48</v>
      </c>
      <c r="C224" s="45">
        <v>221</v>
      </c>
      <c r="D224" s="143"/>
      <c r="E224" s="143"/>
      <c r="F224" s="143"/>
      <c r="G224" s="143"/>
      <c r="H224" s="118" t="str">
        <f>CONCATENATE(Р2[[#This Row],[Пр. ПРОК]]," ",Р2[[#This Row],[Пр. МВД]]," ",Р2[[#This Row],[Пр. ГКНБ]]," ",Р2[[#This Row],[Пр. ГСИН]])</f>
        <v xml:space="preserve">   </v>
      </c>
      <c r="I224" s="70"/>
      <c r="J224" s="70"/>
      <c r="K224" s="70"/>
      <c r="L224" s="70"/>
      <c r="M224" s="71"/>
    </row>
    <row r="225" spans="1:13" ht="20.100000000000001" customHeight="1" x14ac:dyDescent="0.25">
      <c r="A225" s="92" t="s">
        <v>517</v>
      </c>
      <c r="B225" s="106" t="s">
        <v>47</v>
      </c>
      <c r="C225" s="45">
        <v>222</v>
      </c>
      <c r="D225" s="143"/>
      <c r="E225" s="143"/>
      <c r="F225" s="143"/>
      <c r="G225" s="143"/>
      <c r="H225" s="118" t="str">
        <f>CONCATENATE(Р2[[#This Row],[Пр. ПРОК]]," ",Р2[[#This Row],[Пр. МВД]]," ",Р2[[#This Row],[Пр. ГКНБ]]," ",Р2[[#This Row],[Пр. ГСИН]])</f>
        <v xml:space="preserve">   </v>
      </c>
      <c r="I225" s="70"/>
      <c r="J225" s="70"/>
      <c r="K225" s="70"/>
      <c r="L225" s="70"/>
      <c r="M225" s="71"/>
    </row>
    <row r="226" spans="1:13" ht="20.100000000000001" customHeight="1" x14ac:dyDescent="0.25">
      <c r="A226" s="92" t="s">
        <v>517</v>
      </c>
      <c r="B226" s="106" t="s">
        <v>46</v>
      </c>
      <c r="C226" s="45">
        <v>223</v>
      </c>
      <c r="D226" s="143"/>
      <c r="E226" s="143"/>
      <c r="F226" s="143"/>
      <c r="G226" s="143"/>
      <c r="H226" s="118" t="str">
        <f>CONCATENATE(Р2[[#This Row],[Пр. ПРОК]]," ",Р2[[#This Row],[Пр. МВД]]," ",Р2[[#This Row],[Пр. ГКНБ]]," ",Р2[[#This Row],[Пр. ГСИН]])</f>
        <v xml:space="preserve">   </v>
      </c>
      <c r="I226" s="70"/>
      <c r="J226" s="70"/>
      <c r="K226" s="70"/>
      <c r="L226" s="70"/>
      <c r="M226" s="71"/>
    </row>
    <row r="227" spans="1:13" ht="20.100000000000001" customHeight="1" x14ac:dyDescent="0.25">
      <c r="A227" s="92" t="s">
        <v>517</v>
      </c>
      <c r="B227" s="106" t="s">
        <v>45</v>
      </c>
      <c r="C227" s="45">
        <v>224</v>
      </c>
      <c r="D227" s="143"/>
      <c r="E227" s="143"/>
      <c r="F227" s="143"/>
      <c r="G227" s="143"/>
      <c r="H227" s="118" t="str">
        <f>CONCATENATE(Р2[[#This Row],[Пр. ПРОК]]," ",Р2[[#This Row],[Пр. МВД]]," ",Р2[[#This Row],[Пр. ГКНБ]]," ",Р2[[#This Row],[Пр. ГСИН]])</f>
        <v xml:space="preserve">   </v>
      </c>
      <c r="I227" s="70"/>
      <c r="J227" s="70"/>
      <c r="K227" s="70"/>
      <c r="L227" s="70"/>
      <c r="M227" s="71"/>
    </row>
    <row r="228" spans="1:13" ht="20.100000000000001" customHeight="1" x14ac:dyDescent="0.25">
      <c r="A228" s="92" t="s">
        <v>517</v>
      </c>
      <c r="B228" s="106" t="s">
        <v>44</v>
      </c>
      <c r="C228" s="45">
        <v>225</v>
      </c>
      <c r="D228" s="143"/>
      <c r="E228" s="143"/>
      <c r="F228" s="143"/>
      <c r="G228" s="143"/>
      <c r="H228" s="118" t="str">
        <f>CONCATENATE(Р2[[#This Row],[Пр. ПРОК]]," ",Р2[[#This Row],[Пр. МВД]]," ",Р2[[#This Row],[Пр. ГКНБ]]," ",Р2[[#This Row],[Пр. ГСИН]])</f>
        <v xml:space="preserve">   </v>
      </c>
      <c r="I228" s="70"/>
      <c r="J228" s="70"/>
      <c r="K228" s="70"/>
      <c r="L228" s="70"/>
      <c r="M228" s="71"/>
    </row>
    <row r="229" spans="1:13" ht="20.100000000000001" customHeight="1" x14ac:dyDescent="0.25">
      <c r="A229" s="92" t="s">
        <v>517</v>
      </c>
      <c r="B229" s="106" t="s">
        <v>43</v>
      </c>
      <c r="C229" s="45">
        <v>226</v>
      </c>
      <c r="D229" s="143"/>
      <c r="E229" s="143"/>
      <c r="F229" s="143"/>
      <c r="G229" s="143"/>
      <c r="H229" s="118" t="str">
        <f>CONCATENATE(Р2[[#This Row],[Пр. ПРОК]]," ",Р2[[#This Row],[Пр. МВД]]," ",Р2[[#This Row],[Пр. ГКНБ]]," ",Р2[[#This Row],[Пр. ГСИН]])</f>
        <v xml:space="preserve">   </v>
      </c>
      <c r="I229" s="70"/>
      <c r="J229" s="70"/>
      <c r="K229" s="70"/>
      <c r="L229" s="70"/>
      <c r="M229" s="71"/>
    </row>
    <row r="230" spans="1:13" ht="20.100000000000001" customHeight="1" x14ac:dyDescent="0.25">
      <c r="A230" s="91" t="s">
        <v>518</v>
      </c>
      <c r="B230" s="146" t="s">
        <v>508</v>
      </c>
      <c r="C230" s="45">
        <v>227</v>
      </c>
      <c r="D230" s="145"/>
      <c r="E230" s="145"/>
      <c r="F230" s="145"/>
      <c r="G230" s="145"/>
      <c r="H230" s="118" t="str">
        <f>CONCATENATE(Р2[[#This Row],[Пр. ПРОК]]," ",Р2[[#This Row],[Пр. МВД]]," ",Р2[[#This Row],[Пр. ГКНБ]]," ",Р2[[#This Row],[Пр. ГСИН]])</f>
        <v xml:space="preserve">   </v>
      </c>
      <c r="I230" s="70"/>
      <c r="J230" s="70"/>
      <c r="K230" s="70"/>
      <c r="L230" s="70"/>
      <c r="M230" s="71"/>
    </row>
    <row r="231" spans="1:13" ht="20.100000000000001" customHeight="1" x14ac:dyDescent="0.25">
      <c r="A231" s="92" t="s">
        <v>518</v>
      </c>
      <c r="B231" s="108" t="s">
        <v>42</v>
      </c>
      <c r="C231" s="45">
        <v>228</v>
      </c>
      <c r="D231" s="143"/>
      <c r="E231" s="164">
        <v>6</v>
      </c>
      <c r="F231" s="143"/>
      <c r="G231" s="143"/>
      <c r="H231" s="118" t="str">
        <f>CONCATENATE(Р2[[#This Row],[Пр. ПРОК]]," ",Р2[[#This Row],[Пр. МВД]]," ",Р2[[#This Row],[Пр. ГКНБ]]," ",Р2[[#This Row],[Пр. ГСИН]])</f>
        <v xml:space="preserve">   </v>
      </c>
      <c r="I231" s="70"/>
      <c r="J231" s="70"/>
      <c r="K231" s="70"/>
      <c r="L231" s="70"/>
      <c r="M231" s="71"/>
    </row>
    <row r="232" spans="1:13" ht="20.100000000000001" customHeight="1" x14ac:dyDescent="0.25">
      <c r="A232" s="92" t="s">
        <v>518</v>
      </c>
      <c r="B232" s="106" t="s">
        <v>41</v>
      </c>
      <c r="C232" s="45">
        <v>229</v>
      </c>
      <c r="D232" s="143"/>
      <c r="E232" s="164">
        <v>9</v>
      </c>
      <c r="F232" s="143"/>
      <c r="G232" s="143"/>
      <c r="H232" s="118" t="str">
        <f>CONCATENATE(Р2[[#This Row],[Пр. ПРОК]]," ",Р2[[#This Row],[Пр. МВД]]," ",Р2[[#This Row],[Пр. ГКНБ]]," ",Р2[[#This Row],[Пр. ГСИН]])</f>
        <v xml:space="preserve">   </v>
      </c>
      <c r="I232" s="109"/>
      <c r="J232" s="109"/>
      <c r="K232" s="109"/>
      <c r="L232" s="109"/>
      <c r="M232" s="71"/>
    </row>
    <row r="233" spans="1:13" ht="20.100000000000001" customHeight="1" x14ac:dyDescent="0.25">
      <c r="A233" s="92" t="s">
        <v>518</v>
      </c>
      <c r="B233" s="107" t="s">
        <v>36</v>
      </c>
      <c r="C233" s="45">
        <v>230</v>
      </c>
      <c r="D233" s="143"/>
      <c r="E233" s="164">
        <v>4</v>
      </c>
      <c r="F233" s="143"/>
      <c r="G233" s="143"/>
      <c r="H233" s="118" t="str">
        <f>CONCATENATE(Р2[[#This Row],[Пр. ПРОК]]," ",Р2[[#This Row],[Пр. МВД]]," ",Р2[[#This Row],[Пр. ГКНБ]]," ",Р2[[#This Row],[Пр. ГСИН]])</f>
        <v xml:space="preserve">   </v>
      </c>
      <c r="I233" s="70"/>
      <c r="J233" s="70"/>
      <c r="K233" s="70"/>
      <c r="L233" s="70"/>
      <c r="M233" s="71"/>
    </row>
    <row r="234" spans="1:13" ht="20.100000000000001" customHeight="1" x14ac:dyDescent="0.25">
      <c r="A234" s="92" t="s">
        <v>518</v>
      </c>
      <c r="B234" s="107" t="s">
        <v>826</v>
      </c>
      <c r="C234" s="45">
        <v>231</v>
      </c>
      <c r="D234" s="143"/>
      <c r="E234" s="164"/>
      <c r="F234" s="143"/>
      <c r="G234" s="143"/>
      <c r="H234" s="118" t="str">
        <f>CONCATENATE(Р2[[#This Row],[Пр. ПРОК]]," ",Р2[[#This Row],[Пр. МВД]]," ",Р2[[#This Row],[Пр. ГКНБ]]," ",Р2[[#This Row],[Пр. ГСИН]])</f>
        <v xml:space="preserve">   </v>
      </c>
      <c r="I234" s="70"/>
      <c r="J234" s="70"/>
      <c r="K234" s="70"/>
      <c r="L234" s="70"/>
      <c r="M234" s="71"/>
    </row>
    <row r="235" spans="1:13" ht="20.100000000000001" customHeight="1" x14ac:dyDescent="0.25">
      <c r="A235" s="92" t="s">
        <v>518</v>
      </c>
      <c r="B235" s="106" t="s">
        <v>40</v>
      </c>
      <c r="C235" s="45">
        <v>232</v>
      </c>
      <c r="D235" s="143"/>
      <c r="E235" s="164">
        <v>3</v>
      </c>
      <c r="F235" s="143"/>
      <c r="G235" s="143"/>
      <c r="H235" s="119" t="str">
        <f>CONCATENATE(Р2[[#This Row],[Пр. ПРОК]]," ",Р2[[#This Row],[Пр. МВД]]," ",Р2[[#This Row],[Пр. ГКНБ]]," ",Р2[[#This Row],[Пр. ГСИН]])</f>
        <v xml:space="preserve">   </v>
      </c>
      <c r="I235" s="80" t="str">
        <f>IF(Р2[[#This Row],[Прокуратура]]&gt;=(D237+D238),"",CONCATENATE("Прок: ",$C$235,"&gt;=(",$C$237,"+",$C$238,")"))</f>
        <v/>
      </c>
      <c r="J235" s="80" t="str">
        <f>IF(Р2[[#This Row],[МВД]]&gt;=(E237+E238),"",CONCATENATE(Р2[[#Headers],[МВД]],": ",$C$235,"&gt;=(",$C$237,"+",$C$238,")"))</f>
        <v/>
      </c>
      <c r="K235" s="80" t="str">
        <f>IF(Р2[[#This Row],[ГКНБ]]&gt;=(F237+F238),"",CONCATENATE(Р2[[#Headers],[ГКНБ]],": ",$C$235,"&gt;=(",$C$237,"+",$C$238,")"))</f>
        <v/>
      </c>
      <c r="L235" s="80" t="str">
        <f>IF(Р2[[#This Row],[ГСИН]]&gt;=(G237+G238),"",CONCATENATE(Р2[[#Headers],[ГСИН]],": ",$C$235,"&gt;=(",$C$237,"+",$C$238,")"))</f>
        <v/>
      </c>
      <c r="M235" s="71"/>
    </row>
    <row r="236" spans="1:13" ht="20.100000000000001" customHeight="1" x14ac:dyDescent="0.25">
      <c r="A236" s="92"/>
      <c r="B236" s="107" t="s">
        <v>908</v>
      </c>
      <c r="C236" s="45">
        <v>233</v>
      </c>
      <c r="D236" s="143"/>
      <c r="E236" s="164">
        <v>3</v>
      </c>
      <c r="F236" s="143"/>
      <c r="G236" s="143"/>
      <c r="H236" s="118" t="str">
        <f>CONCATENATE(Р2[[#This Row],[Пр. ПРОК]]," ",Р2[[#This Row],[Пр. МВД]]," ",Р2[[#This Row],[Пр. ГКНБ]]," ",Р2[[#This Row],[Пр. ГСИН]])</f>
        <v xml:space="preserve">   </v>
      </c>
      <c r="I236" s="70"/>
      <c r="J236" s="70"/>
      <c r="K236" s="70"/>
      <c r="L236" s="70"/>
      <c r="M236" s="71"/>
    </row>
    <row r="237" spans="1:13" ht="20.100000000000001" customHeight="1" x14ac:dyDescent="0.25">
      <c r="A237" s="92" t="s">
        <v>518</v>
      </c>
      <c r="B237" s="107" t="s">
        <v>36</v>
      </c>
      <c r="C237" s="45">
        <v>234</v>
      </c>
      <c r="D237" s="143"/>
      <c r="E237" s="164"/>
      <c r="F237" s="143"/>
      <c r="G237" s="143"/>
      <c r="H237" s="118" t="str">
        <f>CONCATENATE(Р2[[#This Row],[Пр. ПРОК]]," ",Р2[[#This Row],[Пр. МВД]]," ",Р2[[#This Row],[Пр. ГКНБ]]," ",Р2[[#This Row],[Пр. ГСИН]])</f>
        <v xml:space="preserve">   </v>
      </c>
      <c r="I237" s="70"/>
      <c r="J237" s="70"/>
      <c r="K237" s="70"/>
      <c r="L237" s="70"/>
      <c r="M237" s="71"/>
    </row>
    <row r="238" spans="1:13" ht="20.100000000000001" customHeight="1" x14ac:dyDescent="0.25">
      <c r="A238" s="92" t="s">
        <v>518</v>
      </c>
      <c r="B238" s="107" t="s">
        <v>827</v>
      </c>
      <c r="C238" s="45">
        <v>235</v>
      </c>
      <c r="D238" s="143"/>
      <c r="E238" s="164"/>
      <c r="F238" s="143"/>
      <c r="G238" s="143"/>
      <c r="H238" s="118" t="str">
        <f>CONCATENATE(Р2[[#This Row],[Пр. ПРОК]]," ",Р2[[#This Row],[Пр. МВД]]," ",Р2[[#This Row],[Пр. ГКНБ]]," ",Р2[[#This Row],[Пр. ГСИН]])</f>
        <v xml:space="preserve">   </v>
      </c>
      <c r="I238" s="70"/>
      <c r="J238" s="70"/>
      <c r="K238" s="70"/>
      <c r="L238" s="70"/>
      <c r="M238" s="71"/>
    </row>
    <row r="239" spans="1:13" ht="18" customHeight="1" x14ac:dyDescent="0.25">
      <c r="A239" s="92" t="s">
        <v>518</v>
      </c>
      <c r="B239" s="106" t="s">
        <v>881</v>
      </c>
      <c r="C239" s="45">
        <v>236</v>
      </c>
      <c r="D239" s="143"/>
      <c r="E239" s="164"/>
      <c r="F239" s="143"/>
      <c r="G239" s="143"/>
      <c r="H239" s="119" t="str">
        <f>CONCATENATE(Р2[[#This Row],[Пр. ПРОК]]," ",Р2[[#This Row],[Пр. МВД]]," ",Р2[[#This Row],[Пр. ГКНБ]]," ",Р2[[#This Row],[Пр. ГСИН]])</f>
        <v xml:space="preserve">   </v>
      </c>
      <c r="I239" s="77" t="str">
        <f>IF(Р2[[#This Row],[Прокуратура]]&lt;=D232,"",CONCATENATE("Прок: ",$C$232,"&lt;=",$C$239))</f>
        <v/>
      </c>
      <c r="J239" s="77" t="str">
        <f>IF(Р2[[#This Row],[МВД]]&lt;=E232,"",CONCATENATE(Р2[[#Headers],[МВД]],": ",$C$232,"&lt;=",$C$239))</f>
        <v/>
      </c>
      <c r="K239" s="77" t="str">
        <f>IF(Р2[[#This Row],[ГКНБ]]&lt;=F232,"",CONCATENATE(Р2[[#Headers],[ГКНБ]],": ",$C$232,"&lt;=",$C$239))</f>
        <v/>
      </c>
      <c r="L239" s="77" t="str">
        <f>IF(Р2[[#This Row],[ГСИН]]&lt;=G232,"",CONCATENATE(Р2[[#Headers],[ГСИН]],": ",$C$232,"&lt;=",$C$239))</f>
        <v/>
      </c>
      <c r="M239" s="71"/>
    </row>
    <row r="240" spans="1:13" ht="18" customHeight="1" x14ac:dyDescent="0.25">
      <c r="A240" s="92" t="s">
        <v>518</v>
      </c>
      <c r="B240" s="148" t="s">
        <v>525</v>
      </c>
      <c r="C240" s="45">
        <v>237</v>
      </c>
      <c r="D240" s="143"/>
      <c r="E240" s="164"/>
      <c r="F240" s="143"/>
      <c r="G240" s="143"/>
      <c r="H240" s="118" t="str">
        <f>CONCATENATE(Р2[[#This Row],[Пр. ПРОК]]," ",Р2[[#This Row],[Пр. МВД]]," ",Р2[[#This Row],[Пр. ГКНБ]]," ",Р2[[#This Row],[Пр. ГСИН]])</f>
        <v xml:space="preserve">   </v>
      </c>
      <c r="I240" s="70"/>
      <c r="J240" s="70"/>
      <c r="K240" s="70"/>
      <c r="L240" s="70"/>
      <c r="M240" s="71"/>
    </row>
    <row r="241" spans="1:13" ht="18" customHeight="1" x14ac:dyDescent="0.25">
      <c r="A241" s="92" t="s">
        <v>518</v>
      </c>
      <c r="B241" s="108" t="s">
        <v>39</v>
      </c>
      <c r="C241" s="45">
        <v>238</v>
      </c>
      <c r="D241" s="143"/>
      <c r="E241" s="164">
        <v>3</v>
      </c>
      <c r="F241" s="143"/>
      <c r="G241" s="143"/>
      <c r="H241" s="119" t="str">
        <f>CONCATENATE(Р2[[#This Row],[Пр. ПРОК]]," ",Р2[[#This Row],[Пр. МВД]]," ",Р2[[#This Row],[Пр. ГКНБ]]," ",Р2[[#This Row],[Пр. ГСИН]])</f>
        <v xml:space="preserve">   </v>
      </c>
      <c r="I241" s="77" t="str">
        <f>IF(Р2[[#This Row],[Прокуратура]]&lt;=D231,"",CONCATENATE("Прок: ",$C$241,"&lt;=",$C$231))</f>
        <v/>
      </c>
      <c r="J241" s="77" t="str">
        <f>IF(Р2[[#This Row],[МВД]]&lt;=E231,"",CONCATENATE(Р2[[#Headers],[МВД]],": ",$C$241,"&lt;=",$C$231))</f>
        <v/>
      </c>
      <c r="K241" s="77" t="str">
        <f>IF(Р2[[#This Row],[ГКНБ]]&lt;=F231,"",CONCATENATE(Р2[[#Headers],[ГКНБ]],": ",$C$241,"&lt;=",$C$231))</f>
        <v/>
      </c>
      <c r="L241" s="77" t="str">
        <f>IF(Р2[[#This Row],[ГСИН]]&lt;=G231,"",CONCATENATE(Р2[[#Headers],[ГСИН]],": ",$C$241,"&lt;=",$C$231))</f>
        <v/>
      </c>
      <c r="M241" s="71"/>
    </row>
    <row r="242" spans="1:13" ht="18" customHeight="1" x14ac:dyDescent="0.25">
      <c r="A242" s="92" t="s">
        <v>518</v>
      </c>
      <c r="B242" s="106" t="s">
        <v>38</v>
      </c>
      <c r="C242" s="45">
        <v>239</v>
      </c>
      <c r="D242" s="143"/>
      <c r="E242" s="164">
        <v>4</v>
      </c>
      <c r="F242" s="143"/>
      <c r="G242" s="143"/>
      <c r="H242" s="119" t="str">
        <f>CONCATENATE(Р2[[#This Row],[Пр. ПРОК]]," ",Р2[[#This Row],[Пр. МВД]]," ",Р2[[#This Row],[Пр. ГКНБ]]," ",Р2[[#This Row],[Пр. ГСИН]])</f>
        <v xml:space="preserve">       </v>
      </c>
      <c r="I242" s="77" t="str">
        <f>CONCATENATE(IF(Р2[[#This Row],[Прокуратура]]&gt;=D243,"",CONCATENATE("Прок: ",$C$242,"&gt;=",$C$243))," ",IF(Р2[[#This Row],[Прокуратура]]&gt;=(D245+D246),"",CONCATENATE("Прок: ",$C$242,"&gt;=(",$C$245,"+",$C$246,")")))</f>
        <v xml:space="preserve"> </v>
      </c>
      <c r="J242" s="80" t="str">
        <f>CONCATENATE(IF(Р2[[#This Row],[МВД]]&gt;=E243,"",CONCATENATE(Р2[[#Headers],[МВД]],": ",$C$242,"&gt;=",$C$243))," ",IF(Р2[[#This Row],[МВД]]&gt;=(E245+E246),"",CONCATENATE(Р2[[#Headers],[МВД]],": ",$C$242,"&gt;=(",$C$245,"+",$C$246,")")))</f>
        <v xml:space="preserve"> </v>
      </c>
      <c r="K242" s="80" t="str">
        <f>CONCATENATE(IF(Р2[[#This Row],[ГКНБ]]&gt;=F243,"",CONCATENATE(Р2[[#Headers],[ГКНБ]],": ",$C$242,"&gt;=",$C$243))," ",IF(Р2[[#This Row],[ГКНБ]]&gt;=(F245+F246),"",CONCATENATE(Р2[[#Headers],[ГКНБ]],": ",$C$242,"&gt;=(",$C$245,"+",$C$246,")")))</f>
        <v xml:space="preserve"> </v>
      </c>
      <c r="L242" s="80" t="str">
        <f>CONCATENATE(IF(Р2[[#This Row],[ГСИН]]&gt;=G243,"",CONCATENATE(Р2[[#Headers],[ГСИН]],": ",$C$242,"&gt;=",$C$243))," ",IF(Р2[[#This Row],[ГСИН]]&gt;=(G245+G246),"",CONCATENATE(Р2[[#Headers],[ГСИН]],": ",$C$242,"&gt;=(",$C$245,"+",$C$246,")")))</f>
        <v xml:space="preserve"> </v>
      </c>
      <c r="M242" s="71"/>
    </row>
    <row r="243" spans="1:13" ht="18" customHeight="1" x14ac:dyDescent="0.25">
      <c r="A243" s="92" t="s">
        <v>518</v>
      </c>
      <c r="B243" s="106" t="s">
        <v>37</v>
      </c>
      <c r="C243" s="45">
        <v>240</v>
      </c>
      <c r="D243" s="143"/>
      <c r="E243" s="143"/>
      <c r="F243" s="143"/>
      <c r="G243" s="143"/>
      <c r="H243" s="118" t="str">
        <f>CONCATENATE(Р2[[#This Row],[Пр. ПРОК]]," ",Р2[[#This Row],[Пр. МВД]]," ",Р2[[#This Row],[Пр. ГКНБ]]," ",Р2[[#This Row],[Пр. ГСИН]])</f>
        <v xml:space="preserve">   </v>
      </c>
      <c r="I243" s="70"/>
      <c r="J243" s="70"/>
      <c r="K243" s="70"/>
      <c r="L243" s="70"/>
      <c r="M243" s="71"/>
    </row>
    <row r="244" spans="1:13" ht="18" customHeight="1" x14ac:dyDescent="0.25">
      <c r="A244" s="92"/>
      <c r="B244" s="107" t="s">
        <v>908</v>
      </c>
      <c r="C244" s="45">
        <v>241</v>
      </c>
      <c r="D244" s="143"/>
      <c r="E244" s="143"/>
      <c r="F244" s="143"/>
      <c r="G244" s="143"/>
      <c r="H244" s="118" t="str">
        <f>CONCATENATE(Р2[[#This Row],[Пр. ПРОК]]," ",Р2[[#This Row],[Пр. МВД]]," ",Р2[[#This Row],[Пр. ГКНБ]]," ",Р2[[#This Row],[Пр. ГСИН]])</f>
        <v xml:space="preserve">   </v>
      </c>
      <c r="I244" s="70"/>
      <c r="J244" s="70"/>
      <c r="K244" s="70"/>
      <c r="L244" s="70"/>
      <c r="M244" s="71"/>
    </row>
    <row r="245" spans="1:13" ht="18" customHeight="1" x14ac:dyDescent="0.25">
      <c r="A245" s="92" t="s">
        <v>518</v>
      </c>
      <c r="B245" s="107" t="s">
        <v>36</v>
      </c>
      <c r="C245" s="45">
        <v>242</v>
      </c>
      <c r="D245" s="143"/>
      <c r="E245" s="143"/>
      <c r="F245" s="143"/>
      <c r="G245" s="143"/>
      <c r="H245" s="118" t="str">
        <f>CONCATENATE(Р2[[#This Row],[Пр. ПРОК]]," ",Р2[[#This Row],[Пр. МВД]]," ",Р2[[#This Row],[Пр. ГКНБ]]," ",Р2[[#This Row],[Пр. ГСИН]])</f>
        <v xml:space="preserve">   </v>
      </c>
      <c r="I245" s="70"/>
      <c r="J245" s="70"/>
      <c r="K245" s="70"/>
      <c r="L245" s="70"/>
      <c r="M245" s="71"/>
    </row>
    <row r="246" spans="1:13" ht="18" customHeight="1" x14ac:dyDescent="0.25">
      <c r="A246" s="92" t="s">
        <v>518</v>
      </c>
      <c r="B246" s="107" t="s">
        <v>827</v>
      </c>
      <c r="C246" s="45">
        <v>243</v>
      </c>
      <c r="D246" s="143"/>
      <c r="E246" s="143"/>
      <c r="F246" s="143"/>
      <c r="G246" s="143"/>
      <c r="H246" s="118" t="str">
        <f>CONCATENATE(Р2[[#This Row],[Пр. ПРОК]]," ",Р2[[#This Row],[Пр. МВД]]," ",Р2[[#This Row],[Пр. ГКНБ]]," ",Р2[[#This Row],[Пр. ГСИН]])</f>
        <v xml:space="preserve">   </v>
      </c>
      <c r="I246" s="70"/>
      <c r="J246" s="70"/>
      <c r="K246" s="70"/>
      <c r="L246" s="70"/>
      <c r="M246" s="71"/>
    </row>
    <row r="247" spans="1:13" ht="18" customHeight="1" x14ac:dyDescent="0.25">
      <c r="A247" s="91" t="s">
        <v>519</v>
      </c>
      <c r="B247" s="147" t="s">
        <v>532</v>
      </c>
      <c r="C247" s="45">
        <v>244</v>
      </c>
      <c r="D247" s="145"/>
      <c r="E247" s="145"/>
      <c r="F247" s="145"/>
      <c r="G247" s="145"/>
      <c r="H247" s="118" t="str">
        <f>CONCATENATE(Р2[[#This Row],[Пр. ПРОК]]," ",Р2[[#This Row],[Пр. МВД]]," ",Р2[[#This Row],[Пр. ГКНБ]]," ",Р2[[#This Row],[Пр. ГСИН]])</f>
        <v xml:space="preserve">   </v>
      </c>
      <c r="I247" s="70"/>
      <c r="J247" s="70"/>
      <c r="K247" s="70"/>
      <c r="L247" s="70"/>
      <c r="M247" s="71"/>
    </row>
    <row r="248" spans="1:13" ht="18" customHeight="1" x14ac:dyDescent="0.25">
      <c r="A248" s="92" t="s">
        <v>519</v>
      </c>
      <c r="B248" s="108" t="s">
        <v>35</v>
      </c>
      <c r="C248" s="45">
        <v>245</v>
      </c>
      <c r="D248" s="140"/>
      <c r="E248" s="140">
        <v>3</v>
      </c>
      <c r="F248" s="140"/>
      <c r="G248" s="140"/>
      <c r="H248" s="119" t="str">
        <f>CONCATENATE(Р2[[#This Row],[Пр. ПРОК]]," ",Р2[[#This Row],[Пр. МВД]]," ",Р2[[#This Row],[Пр. ГКНБ]]," ",Р2[[#This Row],[Пр. ГСИН]])</f>
        <v xml:space="preserve">   </v>
      </c>
      <c r="I248" s="77" t="str">
        <f>IF(Р2[[#This Row],[Прокуратура]]&gt;=D249,"",CONCATENATE("Прок: ",$C$248,"&gt;=",$C$249))</f>
        <v/>
      </c>
      <c r="J248" s="77" t="str">
        <f>IF(Р2[[#This Row],[МВД]]&gt;=E249,"",CONCATENATE(Р2[[#Headers],[МВД]],": ",$C$248,"&gt;=",$C$249))</f>
        <v/>
      </c>
      <c r="K248" s="77" t="str">
        <f>IF(Р2[[#This Row],[ГКНБ]]&gt;=F249,"",CONCATENATE(Р2[[#Headers],[ГКНБ]],": ",$C$248,"&gt;=",$C$249))</f>
        <v/>
      </c>
      <c r="L248" s="77" t="str">
        <f>IF(Р2[[#This Row],[ГСИН]]&gt;=G249,"",CONCATENATE(Р2[[#Headers],[ГСИН]],": ",$C$248,"&gt;=",$C$249))</f>
        <v/>
      </c>
      <c r="M248" s="71"/>
    </row>
    <row r="249" spans="1:13" ht="18" customHeight="1" x14ac:dyDescent="0.25">
      <c r="A249" s="92" t="s">
        <v>519</v>
      </c>
      <c r="B249" s="110" t="s">
        <v>24</v>
      </c>
      <c r="C249" s="45">
        <v>246</v>
      </c>
      <c r="D249" s="140"/>
      <c r="E249" s="140">
        <v>3</v>
      </c>
      <c r="F249" s="140"/>
      <c r="G249" s="140"/>
      <c r="H249" s="118" t="str">
        <f>CONCATENATE(Р2[[#This Row],[Пр. ПРОК]]," ",Р2[[#This Row],[Пр. МВД]]," ",Р2[[#This Row],[Пр. ГКНБ]]," ",Р2[[#This Row],[Пр. ГСИН]])</f>
        <v xml:space="preserve">   </v>
      </c>
      <c r="I249" s="70"/>
      <c r="J249" s="70"/>
      <c r="K249" s="70"/>
      <c r="L249" s="70"/>
      <c r="M249" s="71"/>
    </row>
    <row r="250" spans="1:13" ht="18" customHeight="1" x14ac:dyDescent="0.25">
      <c r="A250" s="92" t="s">
        <v>519</v>
      </c>
      <c r="B250" s="94" t="s">
        <v>34</v>
      </c>
      <c r="C250" s="45">
        <v>247</v>
      </c>
      <c r="D250" s="140"/>
      <c r="E250" s="140">
        <v>14</v>
      </c>
      <c r="F250" s="140"/>
      <c r="G250" s="140"/>
      <c r="H250" s="119" t="str">
        <f>CONCATENATE(Р2[[#This Row],[Пр. ПРОК]]," ",Р2[[#This Row],[Пр. МВД]]," ",Р2[[#This Row],[Пр. ГКНБ]]," ",Р2[[#This Row],[Пр. ГСИН]])</f>
        <v xml:space="preserve">   </v>
      </c>
      <c r="I250" s="77" t="str">
        <f>IF(Р2[[#This Row],[Прокуратура]]&gt;=D251,"",CONCATENATE("Прок: ",$C$250,"&gt;=",$C$251))</f>
        <v/>
      </c>
      <c r="J250" s="77" t="str">
        <f>IF(Р2[[#This Row],[МВД]]&gt;=E251,"",CONCATENATE(Р2[[#Headers],[МВД]],": ",$C$250,"&gt;=",$C$251))</f>
        <v/>
      </c>
      <c r="K250" s="77" t="str">
        <f>IF(Р2[[#This Row],[ГКНБ]]&gt;=F251,"",CONCATENATE(Р2[[#Headers],[ГКНБ]],": ",$C$250,"&gt;=",$C$251))</f>
        <v/>
      </c>
      <c r="L250" s="77" t="str">
        <f>IF(Р2[[#This Row],[ГСИН]]&gt;=G251,"",CONCATENATE(Р2[[#Headers],[ГСИН]],": ",$C$250,"&gt;=",$C$251))</f>
        <v/>
      </c>
      <c r="M250" s="71"/>
    </row>
    <row r="251" spans="1:13" ht="18" customHeight="1" x14ac:dyDescent="0.25">
      <c r="A251" s="92" t="s">
        <v>519</v>
      </c>
      <c r="B251" s="94" t="s">
        <v>33</v>
      </c>
      <c r="C251" s="45">
        <v>248</v>
      </c>
      <c r="D251" s="140"/>
      <c r="E251" s="140">
        <v>14</v>
      </c>
      <c r="F251" s="140"/>
      <c r="G251" s="140"/>
      <c r="H251" s="118" t="str">
        <f>CONCATENATE(Р2[[#This Row],[Пр. ПРОК]]," ",Р2[[#This Row],[Пр. МВД]]," ",Р2[[#This Row],[Пр. ГКНБ]]," ",Р2[[#This Row],[Пр. ГСИН]])</f>
        <v xml:space="preserve">   </v>
      </c>
      <c r="I251" s="70"/>
      <c r="J251" s="70"/>
      <c r="K251" s="70"/>
      <c r="L251" s="70"/>
      <c r="M251" s="71"/>
    </row>
    <row r="252" spans="1:13" ht="18" customHeight="1" x14ac:dyDescent="0.25">
      <c r="A252" s="92" t="s">
        <v>519</v>
      </c>
      <c r="B252" s="94" t="s">
        <v>32</v>
      </c>
      <c r="C252" s="45">
        <v>249</v>
      </c>
      <c r="D252" s="140"/>
      <c r="E252" s="140">
        <v>10242308</v>
      </c>
      <c r="F252" s="140"/>
      <c r="G252" s="140"/>
      <c r="H252" s="119" t="str">
        <f>CONCATENATE(Р2[[#This Row],[Пр. ПРОК]]," ",Р2[[#This Row],[Пр. МВД]]," ",Р2[[#This Row],[Пр. ГКНБ]]," ",Р2[[#This Row],[Пр. ГСИН]])</f>
        <v xml:space="preserve">   </v>
      </c>
      <c r="I252" s="77" t="str">
        <f>IF(Р2[[#This Row],[Прокуратура]]&gt;=D253,"",CONCATENATE("Прок: ",$C$252,"&gt;=",$C$253))</f>
        <v/>
      </c>
      <c r="J252" s="77" t="str">
        <f>IF(Р2[[#This Row],[МВД]]&gt;=E253,"",CONCATENATE(Р2[[#Headers],[МВД]],": ",$C$252,"&gt;=",$C$253))</f>
        <v/>
      </c>
      <c r="K252" s="77" t="str">
        <f>IF(Р2[[#This Row],[ГКНБ]]&gt;=F253,"",CONCATENATE(Р2[[#Headers],[ГКНБ]],": ",$C$252,"&gt;=",$C$253))</f>
        <v/>
      </c>
      <c r="L252" s="77" t="str">
        <f>IF(Р2[[#This Row],[ГСИН]]&gt;=G253,"",CONCATENATE(Р2[[#Headers],[ГСИН]],": ",$C$252,"&gt;=",$C$253))</f>
        <v/>
      </c>
      <c r="M252" s="71"/>
    </row>
    <row r="253" spans="1:13" ht="18" customHeight="1" x14ac:dyDescent="0.25">
      <c r="A253" s="92" t="s">
        <v>519</v>
      </c>
      <c r="B253" s="110" t="s">
        <v>27</v>
      </c>
      <c r="C253" s="45">
        <v>250</v>
      </c>
      <c r="D253" s="140"/>
      <c r="E253" s="140">
        <v>10242308</v>
      </c>
      <c r="F253" s="140"/>
      <c r="G253" s="140"/>
      <c r="H253" s="118" t="str">
        <f>CONCATENATE(Р2[[#This Row],[Пр. ПРОК]]," ",Р2[[#This Row],[Пр. МВД]]," ",Р2[[#This Row],[Пр. ГКНБ]]," ",Р2[[#This Row],[Пр. ГСИН]])</f>
        <v xml:space="preserve">   </v>
      </c>
      <c r="I253" s="70"/>
      <c r="J253" s="70"/>
      <c r="K253" s="70"/>
      <c r="L253" s="70"/>
      <c r="M253" s="71"/>
    </row>
    <row r="254" spans="1:13" ht="18" customHeight="1" x14ac:dyDescent="0.25">
      <c r="A254" s="92" t="s">
        <v>519</v>
      </c>
      <c r="B254" s="94" t="s">
        <v>21</v>
      </c>
      <c r="C254" s="45">
        <v>251</v>
      </c>
      <c r="D254" s="140"/>
      <c r="E254" s="140">
        <v>10242308</v>
      </c>
      <c r="F254" s="140"/>
      <c r="G254" s="140"/>
      <c r="H254" s="119" t="str">
        <f>CONCATENATE(Р2[[#This Row],[Пр. ПРОК]]," ",Р2[[#This Row],[Пр. МВД]]," ",Р2[[#This Row],[Пр. ГКНБ]]," ",Р2[[#This Row],[Пр. ГСИН]])</f>
        <v xml:space="preserve">   </v>
      </c>
      <c r="I254" s="77" t="str">
        <f>IF(Р2[[#This Row],[Прокуратура]]&gt;=D255,"",CONCATENATE("Прок: ",$C$254,"&gt;=",$C$255))</f>
        <v/>
      </c>
      <c r="J254" s="77" t="str">
        <f>IF(Р2[[#This Row],[МВД]]&gt;=E255,"",CONCATENATE(Р2[[#Headers],[МВД]],": ",$C$254,"&gt;=",$C$255))</f>
        <v/>
      </c>
      <c r="K254" s="77" t="str">
        <f>IF(Р2[[#This Row],[ГКНБ]]&gt;=F255,"",CONCATENATE(Р2[[#Headers],[ГКНБ]],": ",$C$254,"&gt;=",$C$255))</f>
        <v/>
      </c>
      <c r="L254" s="77" t="str">
        <f>IF(Р2[[#This Row],[ГСИН]]&gt;=G255,"",CONCATENATE(Р2[[#Headers],[ГСИН]],": ",$C$254,"&gt;=",$C$255))</f>
        <v/>
      </c>
      <c r="M254" s="71"/>
    </row>
    <row r="255" spans="1:13" ht="18" customHeight="1" x14ac:dyDescent="0.25">
      <c r="A255" s="92" t="s">
        <v>519</v>
      </c>
      <c r="B255" s="110" t="s">
        <v>27</v>
      </c>
      <c r="C255" s="45">
        <v>252</v>
      </c>
      <c r="D255" s="141">
        <f t="shared" ref="D255:G255" si="10">SUM(D256:D258)</f>
        <v>0</v>
      </c>
      <c r="E255" s="141">
        <f t="shared" si="10"/>
        <v>10242308</v>
      </c>
      <c r="F255" s="141">
        <f t="shared" si="10"/>
        <v>0</v>
      </c>
      <c r="G255" s="141">
        <f t="shared" si="10"/>
        <v>0</v>
      </c>
      <c r="H255" s="118" t="str">
        <f>CONCATENATE(Р2[[#This Row],[Пр. ПРОК]]," ",Р2[[#This Row],[Пр. МВД]]," ",Р2[[#This Row],[Пр. ГКНБ]]," ",Р2[[#This Row],[Пр. ГСИН]])</f>
        <v xml:space="preserve">   </v>
      </c>
      <c r="I255" s="70"/>
      <c r="J255" s="70"/>
      <c r="K255" s="70"/>
      <c r="L255" s="70"/>
      <c r="M255" s="71"/>
    </row>
    <row r="256" spans="1:13" ht="18" customHeight="1" x14ac:dyDescent="0.25">
      <c r="A256" s="92" t="s">
        <v>519</v>
      </c>
      <c r="B256" s="94" t="s">
        <v>19</v>
      </c>
      <c r="C256" s="45">
        <v>253</v>
      </c>
      <c r="D256" s="140"/>
      <c r="E256" s="140">
        <v>4822308</v>
      </c>
      <c r="F256" s="140"/>
      <c r="G256" s="140"/>
      <c r="H256" s="118" t="str">
        <f>CONCATENATE(Р2[[#This Row],[Пр. ПРОК]]," ",Р2[[#This Row],[Пр. МВД]]," ",Р2[[#This Row],[Пр. ГКНБ]]," ",Р2[[#This Row],[Пр. ГСИН]])</f>
        <v xml:space="preserve">   </v>
      </c>
      <c r="I256" s="70"/>
      <c r="J256" s="70"/>
      <c r="K256" s="70"/>
      <c r="L256" s="70"/>
      <c r="M256" s="71"/>
    </row>
    <row r="257" spans="1:13" ht="18" customHeight="1" x14ac:dyDescent="0.25">
      <c r="A257" s="92" t="s">
        <v>519</v>
      </c>
      <c r="B257" s="94" t="s">
        <v>18</v>
      </c>
      <c r="C257" s="45">
        <v>254</v>
      </c>
      <c r="D257" s="140"/>
      <c r="E257" s="140">
        <v>5420000</v>
      </c>
      <c r="F257" s="140"/>
      <c r="G257" s="140"/>
      <c r="H257" s="118" t="str">
        <f>CONCATENATE(Р2[[#This Row],[Пр. ПРОК]]," ",Р2[[#This Row],[Пр. МВД]]," ",Р2[[#This Row],[Пр. ГКНБ]]," ",Р2[[#This Row],[Пр. ГСИН]])</f>
        <v xml:space="preserve">   </v>
      </c>
      <c r="I257" s="70"/>
      <c r="J257" s="70"/>
      <c r="K257" s="70"/>
      <c r="L257" s="70"/>
      <c r="M257" s="71"/>
    </row>
    <row r="258" spans="1:13" ht="18" customHeight="1" x14ac:dyDescent="0.25">
      <c r="A258" s="92" t="s">
        <v>519</v>
      </c>
      <c r="B258" s="94" t="s">
        <v>17</v>
      </c>
      <c r="C258" s="45">
        <v>255</v>
      </c>
      <c r="D258" s="140"/>
      <c r="E258" s="140"/>
      <c r="F258" s="140"/>
      <c r="G258" s="140"/>
      <c r="H258" s="118" t="str">
        <f>CONCATENATE(Р2[[#This Row],[Пр. ПРОК]]," ",Р2[[#This Row],[Пр. МВД]]," ",Р2[[#This Row],[Пр. ГКНБ]]," ",Р2[[#This Row],[Пр. ГСИН]])</f>
        <v xml:space="preserve">   </v>
      </c>
      <c r="I258" s="70"/>
      <c r="J258" s="70"/>
      <c r="K258" s="70"/>
      <c r="L258" s="70"/>
      <c r="M258" s="71"/>
    </row>
    <row r="259" spans="1:13" ht="18" customHeight="1" x14ac:dyDescent="0.25">
      <c r="A259" s="92" t="s">
        <v>519</v>
      </c>
      <c r="B259" s="94" t="s">
        <v>850</v>
      </c>
      <c r="C259" s="45">
        <v>256</v>
      </c>
      <c r="D259" s="140"/>
      <c r="E259" s="140"/>
      <c r="F259" s="140"/>
      <c r="G259" s="140"/>
      <c r="H259" s="119" t="str">
        <f>CONCATENATE(Р2[[#This Row],[Пр. ПРОК]]," ",Р2[[#This Row],[Пр. МВД]]," ",Р2[[#This Row],[Пр. ГКНБ]]," ",Р2[[#This Row],[Пр. ГСИН]])</f>
        <v xml:space="preserve">   </v>
      </c>
      <c r="I259" s="77" t="str">
        <f>IF(Р2[[#This Row],[Прокуратура]]&gt;=D260,"",CONCATENATE("Прок: ",$C$259,"&gt;=",$C$260))</f>
        <v/>
      </c>
      <c r="J259" s="77" t="str">
        <f>IF(Р2[[#This Row],[МВД]]&gt;=E260,"",CONCATENATE(Р2[[#Headers],[МВД]],": ",$C$259,"&gt;=",$C$260))</f>
        <v/>
      </c>
      <c r="K259" s="77" t="str">
        <f>IF(Р2[[#This Row],[ГКНБ]]&gt;=F260,"",CONCATENATE(Р2[[#Headers],[ГКНБ]],": ",$C$259,"&gt;=",$C$260))</f>
        <v/>
      </c>
      <c r="L259" s="77" t="str">
        <f>IF(Р2[[#This Row],[ГСИН]]&gt;=G260,"",CONCATENATE(Р2[[#Headers],[ГСИН]],": ",$C$259,"&gt;=",$C$260))</f>
        <v/>
      </c>
      <c r="M259" s="71"/>
    </row>
    <row r="260" spans="1:13" ht="18" customHeight="1" x14ac:dyDescent="0.25">
      <c r="A260" s="92" t="s">
        <v>519</v>
      </c>
      <c r="B260" s="110" t="s">
        <v>27</v>
      </c>
      <c r="C260" s="45">
        <v>257</v>
      </c>
      <c r="D260" s="140"/>
      <c r="E260" s="140"/>
      <c r="F260" s="140"/>
      <c r="G260" s="140"/>
      <c r="H260" s="118" t="str">
        <f>CONCATENATE(Р2[[#This Row],[Пр. ПРОК]]," ",Р2[[#This Row],[Пр. МВД]]," ",Р2[[#This Row],[Пр. ГКНБ]]," ",Р2[[#This Row],[Пр. ГСИН]])</f>
        <v xml:space="preserve">   </v>
      </c>
      <c r="I260" s="70"/>
      <c r="J260" s="70"/>
      <c r="K260" s="70"/>
      <c r="L260" s="70"/>
      <c r="M260" s="71"/>
    </row>
    <row r="261" spans="1:13" ht="18" customHeight="1" x14ac:dyDescent="0.25">
      <c r="A261" s="92" t="s">
        <v>519</v>
      </c>
      <c r="B261" s="94" t="s">
        <v>31</v>
      </c>
      <c r="C261" s="45">
        <v>258</v>
      </c>
      <c r="D261" s="140"/>
      <c r="E261" s="140"/>
      <c r="F261" s="140"/>
      <c r="G261" s="140"/>
      <c r="H261" s="118" t="str">
        <f>CONCATENATE(Р2[[#This Row],[Пр. ПРОК]]," ",Р2[[#This Row],[Пр. МВД]]," ",Р2[[#This Row],[Пр. ГКНБ]]," ",Р2[[#This Row],[Пр. ГСИН]])</f>
        <v xml:space="preserve">   </v>
      </c>
      <c r="I261" s="70"/>
      <c r="J261" s="70"/>
      <c r="K261" s="70"/>
      <c r="L261" s="70"/>
      <c r="M261" s="71"/>
    </row>
    <row r="262" spans="1:13" ht="18" customHeight="1" x14ac:dyDescent="0.25">
      <c r="A262" s="92" t="s">
        <v>519</v>
      </c>
      <c r="B262" s="94" t="s">
        <v>30</v>
      </c>
      <c r="C262" s="45">
        <v>259</v>
      </c>
      <c r="D262" s="140"/>
      <c r="E262" s="140"/>
      <c r="F262" s="140"/>
      <c r="G262" s="140"/>
      <c r="H262" s="118" t="str">
        <f>CONCATENATE(Р2[[#This Row],[Пр. ПРОК]]," ",Р2[[#This Row],[Пр. МВД]]," ",Р2[[#This Row],[Пр. ГКНБ]]," ",Р2[[#This Row],[Пр. ГСИН]])</f>
        <v xml:space="preserve">   </v>
      </c>
      <c r="I262" s="70"/>
      <c r="J262" s="70"/>
      <c r="K262" s="70"/>
      <c r="L262" s="70"/>
      <c r="M262" s="71"/>
    </row>
    <row r="263" spans="1:13" ht="18" customHeight="1" x14ac:dyDescent="0.25">
      <c r="A263" s="92" t="s">
        <v>519</v>
      </c>
      <c r="B263" s="111" t="s">
        <v>29</v>
      </c>
      <c r="C263" s="45">
        <v>260</v>
      </c>
      <c r="D263" s="140"/>
      <c r="E263" s="140">
        <v>2</v>
      </c>
      <c r="F263" s="140"/>
      <c r="G263" s="140"/>
      <c r="H263" s="119" t="str">
        <f>CONCATENATE(Р2[[#This Row],[Пр. ПРОК]]," ",Р2[[#This Row],[Пр. МВД]]," ",Р2[[#This Row],[Пр. ГКНБ]]," ",Р2[[#This Row],[Пр. ГСИН]])</f>
        <v xml:space="preserve">   </v>
      </c>
      <c r="I263" s="77" t="str">
        <f>IF(Р2[[#This Row],[Прокуратура]]&gt;=D264,"",CONCATENATE("Прок: ",$C$263,"&gt;=",$C$264))</f>
        <v/>
      </c>
      <c r="J263" s="77" t="str">
        <f>IF(Р2[[#This Row],[МВД]]&gt;=E264,"",CONCATENATE(Р2[[#Headers],[МВД]],": ",$C$263,"&gt;=",$C$264))</f>
        <v/>
      </c>
      <c r="K263" s="77" t="str">
        <f>IF(Р2[[#This Row],[ГКНБ]]&gt;=F264,"",CONCATENATE(Р2[[#Headers],[ГКНБ]],": ",$C$263,"&gt;=",$C$264))</f>
        <v/>
      </c>
      <c r="L263" s="77" t="str">
        <f>IF(Р2[[#This Row],[ГСИН]]&gt;=G264,"",CONCATENATE(Р2[[#Headers],[ГСИН]],": ",$C$263,"&gt;=",$C$264))</f>
        <v/>
      </c>
      <c r="M263" s="71"/>
    </row>
    <row r="264" spans="1:13" ht="18" customHeight="1" x14ac:dyDescent="0.25">
      <c r="A264" s="92" t="s">
        <v>519</v>
      </c>
      <c r="B264" s="110" t="s">
        <v>24</v>
      </c>
      <c r="C264" s="45">
        <v>261</v>
      </c>
      <c r="D264" s="140"/>
      <c r="E264" s="140">
        <v>2</v>
      </c>
      <c r="F264" s="140"/>
      <c r="G264" s="140"/>
      <c r="H264" s="118" t="str">
        <f>CONCATENATE(Р2[[#This Row],[Пр. ПРОК]]," ",Р2[[#This Row],[Пр. МВД]]," ",Р2[[#This Row],[Пр. ГКНБ]]," ",Р2[[#This Row],[Пр. ГСИН]])</f>
        <v xml:space="preserve">   </v>
      </c>
      <c r="I264" s="70"/>
      <c r="J264" s="70"/>
      <c r="K264" s="70"/>
      <c r="L264" s="70"/>
      <c r="M264" s="71"/>
    </row>
    <row r="265" spans="1:13" ht="18" customHeight="1" x14ac:dyDescent="0.25">
      <c r="A265" s="92" t="s">
        <v>519</v>
      </c>
      <c r="B265" s="94" t="s">
        <v>28</v>
      </c>
      <c r="C265" s="45">
        <v>262</v>
      </c>
      <c r="D265" s="140"/>
      <c r="E265" s="140">
        <v>15591431</v>
      </c>
      <c r="F265" s="140"/>
      <c r="G265" s="140"/>
      <c r="H265" s="119" t="str">
        <f>CONCATENATE(Р2[[#This Row],[Пр. ПРОК]]," ",Р2[[#This Row],[Пр. МВД]]," ",Р2[[#This Row],[Пр. ГКНБ]]," ",Р2[[#This Row],[Пр. ГСИН]])</f>
        <v xml:space="preserve">   </v>
      </c>
      <c r="I265" s="77" t="str">
        <f>IF(Р2[[#This Row],[Прокуратура]]&gt;=D266,"",CONCATENATE("Прок: ",$C$265,"&gt;=",$C$266))</f>
        <v/>
      </c>
      <c r="J265" s="77" t="str">
        <f>IF(Р2[[#This Row],[МВД]]&gt;=E266,"",CONCATENATE(Р2[[#Headers],[МВД]],": ",$C$265,"&gt;=",$C$266))</f>
        <v/>
      </c>
      <c r="K265" s="77" t="str">
        <f>IF(Р2[[#This Row],[ГКНБ]]&gt;=F266,"",CONCATENATE(Р2[[#Headers],[ГКНБ]],": ",$C$265,"&gt;=",$C$266))</f>
        <v/>
      </c>
      <c r="L265" s="77" t="str">
        <f>IF(Р2[[#This Row],[ГСИН]]&gt;=G266,"",CONCATENATE(Р2[[#Headers],[ГСИН]],": ",$C$265,"&gt;=",$C$266))</f>
        <v/>
      </c>
      <c r="M265" s="71"/>
    </row>
    <row r="266" spans="1:13" ht="18" customHeight="1" x14ac:dyDescent="0.25">
      <c r="A266" s="92" t="s">
        <v>519</v>
      </c>
      <c r="B266" s="110" t="s">
        <v>27</v>
      </c>
      <c r="C266" s="45">
        <v>263</v>
      </c>
      <c r="D266" s="140"/>
      <c r="E266" s="140">
        <v>15591431</v>
      </c>
      <c r="F266" s="140"/>
      <c r="G266" s="140"/>
      <c r="H266" s="118" t="str">
        <f>CONCATENATE(Р2[[#This Row],[Пр. ПРОК]]," ",Р2[[#This Row],[Пр. МВД]]," ",Р2[[#This Row],[Пр. ГКНБ]]," ",Р2[[#This Row],[Пр. ГСИН]])</f>
        <v xml:space="preserve">   </v>
      </c>
      <c r="I266" s="70"/>
      <c r="J266" s="70"/>
      <c r="K266" s="70"/>
      <c r="L266" s="70"/>
      <c r="M266" s="71"/>
    </row>
    <row r="267" spans="1:13" ht="18" customHeight="1" x14ac:dyDescent="0.25">
      <c r="A267" s="92" t="s">
        <v>519</v>
      </c>
      <c r="B267" s="94" t="s">
        <v>21</v>
      </c>
      <c r="C267" s="45">
        <v>264</v>
      </c>
      <c r="D267" s="140"/>
      <c r="E267" s="140">
        <v>15594431</v>
      </c>
      <c r="F267" s="140"/>
      <c r="G267" s="140"/>
      <c r="H267" s="119" t="str">
        <f>CONCATENATE(Р2[[#This Row],[Пр. ПРОК]]," ",Р2[[#This Row],[Пр. МВД]]," ",Р2[[#This Row],[Пр. ГКНБ]]," ",Р2[[#This Row],[Пр. ГСИН]])</f>
        <v xml:space="preserve">   </v>
      </c>
      <c r="I267" s="77" t="str">
        <f>IF(Р2[[#This Row],[Прокуратура]]&gt;=D268,"",CONCATENATE("Прок: ",$C$267,"&gt;=",$C$268))</f>
        <v/>
      </c>
      <c r="J267" s="77" t="str">
        <f>IF(Р2[[#This Row],[МВД]]&gt;=E268,"",CONCATENATE(Р2[[#Headers],[МВД]],": ",$C$267,"&gt;=",$C$268))</f>
        <v/>
      </c>
      <c r="K267" s="77" t="str">
        <f>IF(Р2[[#This Row],[ГКНБ]]&gt;=F268,"",CONCATENATE(Р2[[#Headers],[ГКНБ]],": ",$C$267,"&gt;=",$C$268))</f>
        <v/>
      </c>
      <c r="L267" s="77" t="str">
        <f>IF(Р2[[#This Row],[ГСИН]]&gt;=G268,"",CONCATENATE(Р2[[#Headers],[ГСИН]],": ",$C$267,"&gt;=",$C$268))</f>
        <v/>
      </c>
      <c r="M267" s="71"/>
    </row>
    <row r="268" spans="1:13" ht="18" customHeight="1" x14ac:dyDescent="0.25">
      <c r="A268" s="92" t="s">
        <v>519</v>
      </c>
      <c r="B268" s="110" t="s">
        <v>26</v>
      </c>
      <c r="C268" s="45">
        <v>265</v>
      </c>
      <c r="D268" s="141">
        <f t="shared" ref="D268:G268" si="11">SUM(D269:D271)</f>
        <v>0</v>
      </c>
      <c r="E268" s="141">
        <f t="shared" si="11"/>
        <v>15594431</v>
      </c>
      <c r="F268" s="141">
        <f t="shared" si="11"/>
        <v>0</v>
      </c>
      <c r="G268" s="141">
        <f t="shared" si="11"/>
        <v>0</v>
      </c>
      <c r="H268" s="118" t="str">
        <f>CONCATENATE(Р2[[#This Row],[Пр. ПРОК]]," ",Р2[[#This Row],[Пр. МВД]]," ",Р2[[#This Row],[Пр. ГКНБ]]," ",Р2[[#This Row],[Пр. ГСИН]])</f>
        <v xml:space="preserve">   </v>
      </c>
      <c r="I268" s="70"/>
      <c r="J268" s="70"/>
      <c r="K268" s="70"/>
      <c r="L268" s="70"/>
      <c r="M268" s="71"/>
    </row>
    <row r="269" spans="1:13" ht="18" customHeight="1" x14ac:dyDescent="0.25">
      <c r="A269" s="92" t="s">
        <v>519</v>
      </c>
      <c r="B269" s="94" t="s">
        <v>19</v>
      </c>
      <c r="C269" s="45">
        <v>266</v>
      </c>
      <c r="D269" s="140"/>
      <c r="E269" s="166">
        <v>15594431</v>
      </c>
      <c r="F269" s="140"/>
      <c r="G269" s="140"/>
      <c r="H269" s="118" t="str">
        <f>CONCATENATE(Р2[[#This Row],[Пр. ПРОК]]," ",Р2[[#This Row],[Пр. МВД]]," ",Р2[[#This Row],[Пр. ГКНБ]]," ",Р2[[#This Row],[Пр. ГСИН]])</f>
        <v xml:space="preserve">   </v>
      </c>
      <c r="I269" s="70"/>
      <c r="J269" s="70"/>
      <c r="K269" s="70"/>
      <c r="L269" s="70"/>
      <c r="M269" s="71"/>
    </row>
    <row r="270" spans="1:13" ht="18" customHeight="1" x14ac:dyDescent="0.25">
      <c r="A270" s="92" t="s">
        <v>519</v>
      </c>
      <c r="B270" s="94" t="s">
        <v>18</v>
      </c>
      <c r="C270" s="45">
        <v>267</v>
      </c>
      <c r="D270" s="140"/>
      <c r="E270" s="140"/>
      <c r="F270" s="140"/>
      <c r="G270" s="140"/>
      <c r="H270" s="118" t="str">
        <f>CONCATENATE(Р2[[#This Row],[Пр. ПРОК]]," ",Р2[[#This Row],[Пр. МВД]]," ",Р2[[#This Row],[Пр. ГКНБ]]," ",Р2[[#This Row],[Пр. ГСИН]])</f>
        <v xml:space="preserve">   </v>
      </c>
      <c r="I270" s="70"/>
      <c r="J270" s="70"/>
      <c r="K270" s="70"/>
      <c r="L270" s="70"/>
      <c r="M270" s="71"/>
    </row>
    <row r="271" spans="1:13" ht="18" customHeight="1" x14ac:dyDescent="0.25">
      <c r="A271" s="92" t="s">
        <v>519</v>
      </c>
      <c r="B271" s="94" t="s">
        <v>17</v>
      </c>
      <c r="C271" s="45">
        <v>268</v>
      </c>
      <c r="D271" s="140"/>
      <c r="E271" s="140"/>
      <c r="F271" s="140"/>
      <c r="G271" s="140"/>
      <c r="H271" s="118" t="str">
        <f>CONCATENATE(Р2[[#This Row],[Пр. ПРОК]]," ",Р2[[#This Row],[Пр. МВД]]," ",Р2[[#This Row],[Пр. ГКНБ]]," ",Р2[[#This Row],[Пр. ГСИН]])</f>
        <v xml:space="preserve">   </v>
      </c>
      <c r="I271" s="70"/>
      <c r="J271" s="70"/>
      <c r="K271" s="70"/>
      <c r="L271" s="70"/>
      <c r="M271" s="71"/>
    </row>
    <row r="272" spans="1:13" ht="18" customHeight="1" x14ac:dyDescent="0.25">
      <c r="A272" s="92" t="s">
        <v>519</v>
      </c>
      <c r="B272" s="94" t="s">
        <v>31</v>
      </c>
      <c r="C272" s="45">
        <v>269</v>
      </c>
      <c r="D272" s="140"/>
      <c r="E272" s="140"/>
      <c r="F272" s="140"/>
      <c r="G272" s="140"/>
      <c r="H272" s="118" t="str">
        <f>CONCATENATE(Р2[[#This Row],[Пр. ПРОК]]," ",Р2[[#This Row],[Пр. МВД]]," ",Р2[[#This Row],[Пр. ГКНБ]]," ",Р2[[#This Row],[Пр. ГСИН]])</f>
        <v xml:space="preserve">   </v>
      </c>
      <c r="I272" s="70"/>
      <c r="J272" s="70"/>
      <c r="K272" s="70"/>
      <c r="L272" s="70"/>
      <c r="M272" s="71"/>
    </row>
    <row r="273" spans="1:13" ht="18" customHeight="1" x14ac:dyDescent="0.25">
      <c r="A273" s="92" t="s">
        <v>519</v>
      </c>
      <c r="B273" s="94" t="s">
        <v>16</v>
      </c>
      <c r="C273" s="45">
        <v>270</v>
      </c>
      <c r="D273" s="140"/>
      <c r="E273" s="140"/>
      <c r="F273" s="140"/>
      <c r="G273" s="140"/>
      <c r="H273" s="118" t="str">
        <f>CONCATENATE(Р2[[#This Row],[Пр. ПРОК]]," ",Р2[[#This Row],[Пр. МВД]]," ",Р2[[#This Row],[Пр. ГКНБ]]," ",Р2[[#This Row],[Пр. ГСИН]])</f>
        <v xml:space="preserve">   </v>
      </c>
      <c r="I273" s="70"/>
      <c r="J273" s="70"/>
      <c r="K273" s="70"/>
      <c r="L273" s="70"/>
      <c r="M273" s="71"/>
    </row>
    <row r="274" spans="1:13" ht="18" customHeight="1" x14ac:dyDescent="0.25">
      <c r="A274" s="92" t="s">
        <v>519</v>
      </c>
      <c r="B274" s="111" t="s">
        <v>25</v>
      </c>
      <c r="C274" s="45">
        <v>271</v>
      </c>
      <c r="D274" s="140"/>
      <c r="E274" s="140"/>
      <c r="F274" s="140"/>
      <c r="G274" s="140"/>
      <c r="H274" s="119" t="str">
        <f>CONCATENATE(Р2[[#This Row],[Пр. ПРОК]]," ",Р2[[#This Row],[Пр. МВД]]," ",Р2[[#This Row],[Пр. ГКНБ]]," ",Р2[[#This Row],[Пр. ГСИН]])</f>
        <v xml:space="preserve">   </v>
      </c>
      <c r="I274" s="77" t="str">
        <f>IF(Р2[[#This Row],[Прокуратура]]&gt;=D275,"",CONCATENATE("Прок: ",$C$274,"&gt;=",$C$275))</f>
        <v/>
      </c>
      <c r="J274" s="77" t="str">
        <f>IF(Р2[[#This Row],[МВД]]&gt;=E275,"",CONCATENATE(Р2[[#Headers],[МВД]],": ",$C$274,"&gt;=",$C$275))</f>
        <v/>
      </c>
      <c r="K274" s="77" t="str">
        <f>IF(Р2[[#This Row],[ГКНБ]]&gt;=F275,"",CONCATENATE(Р2[[#Headers],[ГКНБ]],": ",$C$274,"&gt;=",$C$275))</f>
        <v/>
      </c>
      <c r="L274" s="77" t="str">
        <f>IF(Р2[[#This Row],[ГСИН]]&gt;=G275,"",CONCATENATE(Р2[[#Headers],[ГСИН]],": ",$C$274,"&gt;=",$C$275))</f>
        <v/>
      </c>
      <c r="M274" s="71"/>
    </row>
    <row r="275" spans="1:13" ht="18" customHeight="1" x14ac:dyDescent="0.25">
      <c r="A275" s="92" t="s">
        <v>519</v>
      </c>
      <c r="B275" s="110" t="s">
        <v>851</v>
      </c>
      <c r="C275" s="45">
        <v>272</v>
      </c>
      <c r="D275" s="140"/>
      <c r="E275" s="140"/>
      <c r="F275" s="140"/>
      <c r="G275" s="140"/>
      <c r="H275" s="118" t="str">
        <f>CONCATENATE(Р2[[#This Row],[Пр. ПРОК]]," ",Р2[[#This Row],[Пр. МВД]]," ",Р2[[#This Row],[Пр. ГКНБ]]," ",Р2[[#This Row],[Пр. ГСИН]])</f>
        <v xml:space="preserve">   </v>
      </c>
      <c r="I275" s="70"/>
      <c r="J275" s="70"/>
      <c r="K275" s="70"/>
      <c r="L275" s="70"/>
      <c r="M275" s="71"/>
    </row>
    <row r="276" spans="1:13" ht="18" customHeight="1" x14ac:dyDescent="0.25">
      <c r="A276" s="92" t="s">
        <v>519</v>
      </c>
      <c r="B276" s="94" t="s">
        <v>23</v>
      </c>
      <c r="C276" s="45">
        <v>273</v>
      </c>
      <c r="D276" s="140"/>
      <c r="E276" s="140"/>
      <c r="F276" s="140"/>
      <c r="G276" s="140"/>
      <c r="H276" s="119" t="str">
        <f>CONCATENATE(Р2[[#This Row],[Пр. ПРОК]]," ",Р2[[#This Row],[Пр. МВД]]," ",Р2[[#This Row],[Пр. ГКНБ]]," ",Р2[[#This Row],[Пр. ГСИН]])</f>
        <v xml:space="preserve">   </v>
      </c>
      <c r="I276" s="77" t="str">
        <f>IF(Р2[[#This Row],[Прокуратура]]&gt;=D277,"",CONCATENATE("Прок: ",$C$276,"&gt;=",$C$277))</f>
        <v/>
      </c>
      <c r="J276" s="77" t="str">
        <f>IF(Р2[[#This Row],[МВД]]&gt;=E277,"",CONCATENATE(Р2[[#Headers],[МВД]],": ",$C$276,"&gt;=",$C$277))</f>
        <v/>
      </c>
      <c r="K276" s="77" t="str">
        <f>IF(Р2[[#This Row],[ГКНБ]]&gt;=F277,"",CONCATENATE(Р2[[#Headers],[ГКНБ]],": ",$C$276,"&gt;=",$C$277))</f>
        <v/>
      </c>
      <c r="L276" s="77" t="str">
        <f>IF(Р2[[#This Row],[ГСИН]]&gt;=G277,"",CONCATENATE(Р2[[#Headers],[ГСИН]],": ",$C$276,"&gt;=",$C$277))</f>
        <v/>
      </c>
      <c r="M276" s="71"/>
    </row>
    <row r="277" spans="1:13" ht="18" customHeight="1" x14ac:dyDescent="0.25">
      <c r="A277" s="92" t="s">
        <v>519</v>
      </c>
      <c r="B277" s="110" t="s">
        <v>22</v>
      </c>
      <c r="C277" s="45">
        <v>274</v>
      </c>
      <c r="D277" s="140"/>
      <c r="E277" s="140"/>
      <c r="F277" s="140"/>
      <c r="G277" s="140"/>
      <c r="H277" s="118" t="str">
        <f>CONCATENATE(Р2[[#This Row],[Пр. ПРОК]]," ",Р2[[#This Row],[Пр. МВД]]," ",Р2[[#This Row],[Пр. ГКНБ]]," ",Р2[[#This Row],[Пр. ГСИН]])</f>
        <v xml:space="preserve">   </v>
      </c>
      <c r="I277" s="70"/>
      <c r="J277" s="70"/>
      <c r="K277" s="70"/>
      <c r="L277" s="70"/>
      <c r="M277" s="71"/>
    </row>
    <row r="278" spans="1:13" ht="18" customHeight="1" x14ac:dyDescent="0.25">
      <c r="A278" s="92" t="s">
        <v>519</v>
      </c>
      <c r="B278" s="94" t="s">
        <v>21</v>
      </c>
      <c r="C278" s="45">
        <v>275</v>
      </c>
      <c r="D278" s="140"/>
      <c r="E278" s="140"/>
      <c r="F278" s="140"/>
      <c r="G278" s="140"/>
      <c r="H278" s="119" t="str">
        <f>CONCATENATE(Р2[[#This Row],[Пр. ПРОК]]," ",Р2[[#This Row],[Пр. МВД]]," ",Р2[[#This Row],[Пр. ГКНБ]]," ",Р2[[#This Row],[Пр. ГСИН]])</f>
        <v xml:space="preserve">   </v>
      </c>
      <c r="I278" s="77" t="str">
        <f>IF(Р2[[#This Row],[Прокуратура]]&gt;=D279,"",CONCATENATE("Прок: ",$C$278,"&gt;=",$C$279))</f>
        <v/>
      </c>
      <c r="J278" s="77" t="str">
        <f>IF(Р2[[#This Row],[МВД]]&gt;=E279,"",CONCATENATE(Р2[[#Headers],[МВД]],": ",$C$278,"&gt;=",$C$279))</f>
        <v/>
      </c>
      <c r="K278" s="77" t="str">
        <f>IF(Р2[[#This Row],[ГКНБ]]&gt;=F279,"",CONCATENATE(Р2[[#Headers],[ГКНБ]],": ",$C$278,"&gt;=",$C$279))</f>
        <v/>
      </c>
      <c r="L278" s="77" t="str">
        <f>IF(Р2[[#This Row],[ГСИН]]&gt;=G279,"",CONCATENATE(Р2[[#Headers],[ГСИН]],": ",$C$278,"&gt;=",$C$279))</f>
        <v/>
      </c>
      <c r="M278" s="71"/>
    </row>
    <row r="279" spans="1:13" ht="18" customHeight="1" x14ac:dyDescent="0.25">
      <c r="A279" s="92" t="s">
        <v>519</v>
      </c>
      <c r="B279" s="110" t="s">
        <v>20</v>
      </c>
      <c r="C279" s="45">
        <v>276</v>
      </c>
      <c r="D279" s="141">
        <f t="shared" ref="D279:G279" si="12">SUM(D280:D282)</f>
        <v>0</v>
      </c>
      <c r="E279" s="141">
        <f t="shared" si="12"/>
        <v>0</v>
      </c>
      <c r="F279" s="141">
        <f t="shared" si="12"/>
        <v>0</v>
      </c>
      <c r="G279" s="141">
        <f t="shared" si="12"/>
        <v>0</v>
      </c>
      <c r="H279" s="118" t="str">
        <f>CONCATENATE(Р2[[#This Row],[Пр. ПРОК]]," ",Р2[[#This Row],[Пр. МВД]]," ",Р2[[#This Row],[Пр. ГКНБ]]," ",Р2[[#This Row],[Пр. ГСИН]])</f>
        <v xml:space="preserve">   </v>
      </c>
      <c r="I279" s="70"/>
      <c r="J279" s="70"/>
      <c r="K279" s="70"/>
      <c r="L279" s="70"/>
      <c r="M279" s="71"/>
    </row>
    <row r="280" spans="1:13" ht="18" customHeight="1" x14ac:dyDescent="0.25">
      <c r="A280" s="92" t="s">
        <v>519</v>
      </c>
      <c r="B280" s="94" t="s">
        <v>19</v>
      </c>
      <c r="C280" s="45">
        <v>277</v>
      </c>
      <c r="D280" s="140"/>
      <c r="E280" s="140"/>
      <c r="F280" s="140"/>
      <c r="G280" s="140"/>
      <c r="H280" s="118" t="str">
        <f>CONCATENATE(Р2[[#This Row],[Пр. ПРОК]]," ",Р2[[#This Row],[Пр. МВД]]," ",Р2[[#This Row],[Пр. ГКНБ]]," ",Р2[[#This Row],[Пр. ГСИН]])</f>
        <v xml:space="preserve">   </v>
      </c>
      <c r="I280" s="70"/>
      <c r="J280" s="70"/>
      <c r="K280" s="70"/>
      <c r="L280" s="70"/>
      <c r="M280" s="71"/>
    </row>
    <row r="281" spans="1:13" ht="18" customHeight="1" x14ac:dyDescent="0.25">
      <c r="A281" s="92" t="s">
        <v>519</v>
      </c>
      <c r="B281" s="94" t="s">
        <v>18</v>
      </c>
      <c r="C281" s="45">
        <v>278</v>
      </c>
      <c r="D281" s="140"/>
      <c r="E281" s="140"/>
      <c r="F281" s="140"/>
      <c r="G281" s="140"/>
      <c r="H281" s="118" t="str">
        <f>CONCATENATE(Р2[[#This Row],[Пр. ПРОК]]," ",Р2[[#This Row],[Пр. МВД]]," ",Р2[[#This Row],[Пр. ГКНБ]]," ",Р2[[#This Row],[Пр. ГСИН]])</f>
        <v xml:space="preserve">   </v>
      </c>
      <c r="I281" s="70"/>
      <c r="J281" s="70"/>
      <c r="K281" s="70"/>
      <c r="L281" s="70"/>
      <c r="M281" s="71"/>
    </row>
    <row r="282" spans="1:13" ht="18" customHeight="1" x14ac:dyDescent="0.25">
      <c r="A282" s="92" t="s">
        <v>519</v>
      </c>
      <c r="B282" s="94" t="s">
        <v>17</v>
      </c>
      <c r="C282" s="45">
        <v>279</v>
      </c>
      <c r="D282" s="140"/>
      <c r="E282" s="140"/>
      <c r="F282" s="140"/>
      <c r="G282" s="140"/>
      <c r="H282" s="118" t="str">
        <f>CONCATENATE(Р2[[#This Row],[Пр. ПРОК]]," ",Р2[[#This Row],[Пр. МВД]]," ",Р2[[#This Row],[Пр. ГКНБ]]," ",Р2[[#This Row],[Пр. ГСИН]])</f>
        <v xml:space="preserve">   </v>
      </c>
      <c r="I282" s="70"/>
      <c r="J282" s="70"/>
      <c r="K282" s="70"/>
      <c r="L282" s="70"/>
      <c r="M282" s="71"/>
    </row>
    <row r="283" spans="1:13" ht="18" customHeight="1" x14ac:dyDescent="0.25">
      <c r="A283" s="92" t="s">
        <v>519</v>
      </c>
      <c r="B283" s="94" t="s">
        <v>31</v>
      </c>
      <c r="C283" s="45">
        <v>280</v>
      </c>
      <c r="D283" s="140"/>
      <c r="E283" s="140"/>
      <c r="F283" s="140"/>
      <c r="G283" s="140"/>
      <c r="H283" s="118" t="str">
        <f>CONCATENATE(Р2[[#This Row],[Пр. ПРОК]]," ",Р2[[#This Row],[Пр. МВД]]," ",Р2[[#This Row],[Пр. ГКНБ]]," ",Р2[[#This Row],[Пр. ГСИН]])</f>
        <v xml:space="preserve">   </v>
      </c>
      <c r="I283" s="70"/>
      <c r="J283" s="70"/>
      <c r="K283" s="70"/>
      <c r="L283" s="70"/>
      <c r="M283" s="71"/>
    </row>
    <row r="284" spans="1:13" ht="18" customHeight="1" x14ac:dyDescent="0.25">
      <c r="A284" s="92" t="s">
        <v>519</v>
      </c>
      <c r="B284" s="94" t="s">
        <v>16</v>
      </c>
      <c r="C284" s="45">
        <v>281</v>
      </c>
      <c r="D284" s="140"/>
      <c r="E284" s="140"/>
      <c r="F284" s="140"/>
      <c r="G284" s="140"/>
      <c r="H284" s="118" t="str">
        <f>CONCATENATE(Р2[[#This Row],[Пр. ПРОК]]," ",Р2[[#This Row],[Пр. МВД]]," ",Р2[[#This Row],[Пр. ГКНБ]]," ",Р2[[#This Row],[Пр. ГСИН]])</f>
        <v xml:space="preserve">   </v>
      </c>
      <c r="I284" s="70"/>
      <c r="J284" s="70"/>
      <c r="K284" s="70"/>
      <c r="L284" s="70"/>
      <c r="M284" s="71"/>
    </row>
    <row r="285" spans="1:13" ht="18" customHeight="1" x14ac:dyDescent="0.25">
      <c r="A285" s="91" t="s">
        <v>520</v>
      </c>
      <c r="B285" s="146" t="s">
        <v>510</v>
      </c>
      <c r="C285" s="45">
        <v>282</v>
      </c>
      <c r="D285" s="145"/>
      <c r="E285" s="145"/>
      <c r="F285" s="145"/>
      <c r="G285" s="145"/>
      <c r="H285" s="118" t="str">
        <f>CONCATENATE(Р2[[#This Row],[Пр. ПРОК]]," ",Р2[[#This Row],[Пр. МВД]]," ",Р2[[#This Row],[Пр. ГКНБ]]," ",Р2[[#This Row],[Пр. ГСИН]])</f>
        <v xml:space="preserve">   </v>
      </c>
      <c r="I285" s="70"/>
      <c r="J285" s="70"/>
      <c r="K285" s="70"/>
      <c r="L285" s="70"/>
      <c r="M285" s="71"/>
    </row>
    <row r="286" spans="1:13" s="67" customFormat="1" ht="18" customHeight="1" x14ac:dyDescent="0.25">
      <c r="A286" s="92" t="s">
        <v>520</v>
      </c>
      <c r="B286" s="108" t="s">
        <v>14</v>
      </c>
      <c r="C286" s="45">
        <v>283</v>
      </c>
      <c r="D286" s="140"/>
      <c r="E286" s="164">
        <v>379</v>
      </c>
      <c r="F286" s="140"/>
      <c r="G286" s="140"/>
      <c r="H286" s="122" t="str">
        <f>CONCATENATE(Р2[[#This Row],[Пр. ПРОК]]," ",Р2[[#This Row],[Пр. МВД]]," ",Р2[[#This Row],[Пр. ГКНБ]]," ",Р2[[#This Row],[Пр. ГСИН]])</f>
        <v xml:space="preserve"> МВД: (283+284+285)=(286+288+289+290+291)  </v>
      </c>
      <c r="I286" s="80" t="str">
        <f>IF((Р2[[#This Row],[Прокуратура]]+D287+D288)=SUM(D289,D291,D292,D293,D294),"",CONCATENATE("Прок: (",$C$286,"+",$C$287,"+",$C$288,")=(",$C$289,"+",$C$291,"+",$C$292,"+",$C$293,"+",$C$294,")"))</f>
        <v/>
      </c>
      <c r="J286" s="80" t="str">
        <f>IF((Р2[[#This Row],[МВД]]+E287+E288)=SUM(E289,E291,E292,E293,E294),"",CONCATENATE(Р2[[#Headers],[МВД]],": (",$C$286,"+",$C$287,"+",$C$288,")=(",$C$289,"+",$C$291,"+",$C$292,"+",$C$293,"+",$C$294,")"))</f>
        <v>МВД: (283+284+285)=(286+288+289+290+291)</v>
      </c>
      <c r="K286" s="80" t="str">
        <f>IF((Р2[[#This Row],[ГКНБ]]+F287+F288)=SUM(F289,F291,F292,F293,F294),"",CONCATENATE(Р2[[#Headers],[ГКНБ]],": (",$C$286,"+",$C$287,"+",$C$288,")=(",$C$289,"+",$C$291,"+",$C$292,"+",$C$293,"+",$C$294,")"))</f>
        <v/>
      </c>
      <c r="L286" s="80" t="str">
        <f>IF((Р2[[#This Row],[ГСИН]]+G287+G288)=SUM(G289,G291,G292,G293,G294),"",CONCATENATE(Р2[[#Headers],[ГСИН]],": (",$C$286,"+",$C$287,"+",$C$288,")=(",$C$289,"+",$C$291,"+",$C$292,"+",$C$293,"+",$C$294,")"))</f>
        <v/>
      </c>
      <c r="M286" s="71"/>
    </row>
    <row r="287" spans="1:13" ht="18" customHeight="1" x14ac:dyDescent="0.25">
      <c r="A287" s="92" t="s">
        <v>520</v>
      </c>
      <c r="B287" s="108" t="s">
        <v>13</v>
      </c>
      <c r="C287" s="45">
        <v>284</v>
      </c>
      <c r="D287" s="140"/>
      <c r="E287" s="164">
        <v>14575</v>
      </c>
      <c r="F287" s="140"/>
      <c r="G287" s="140"/>
      <c r="H287" s="118" t="str">
        <f>CONCATENATE(Р2[[#This Row],[Пр. ПРОК]]," ",Р2[[#This Row],[Пр. МВД]]," ",Р2[[#This Row],[Пр. ГКНБ]]," ",Р2[[#This Row],[Пр. ГСИН]])</f>
        <v xml:space="preserve">   </v>
      </c>
      <c r="I287" s="70"/>
      <c r="J287" s="70"/>
      <c r="K287" s="70"/>
      <c r="L287" s="70"/>
      <c r="M287" s="71"/>
    </row>
    <row r="288" spans="1:13" ht="18" customHeight="1" x14ac:dyDescent="0.25">
      <c r="A288" s="92"/>
      <c r="B288" s="108" t="s">
        <v>527</v>
      </c>
      <c r="C288" s="45">
        <v>285</v>
      </c>
      <c r="D288" s="140"/>
      <c r="E288" s="164">
        <v>808</v>
      </c>
      <c r="F288" s="140"/>
      <c r="G288" s="140"/>
      <c r="H288" s="118" t="str">
        <f>CONCATENATE(Р2[[#This Row],[Пр. ПРОК]]," ",Р2[[#This Row],[Пр. МВД]]," ",Р2[[#This Row],[Пр. ГКНБ]]," ",Р2[[#This Row],[Пр. ГСИН]])</f>
        <v xml:space="preserve">   </v>
      </c>
      <c r="I288" s="70"/>
      <c r="J288" s="70"/>
      <c r="K288" s="70"/>
      <c r="L288" s="70"/>
      <c r="M288" s="71"/>
    </row>
    <row r="289" spans="1:13" ht="18" customHeight="1" x14ac:dyDescent="0.25">
      <c r="A289" s="92" t="s">
        <v>520</v>
      </c>
      <c r="B289" s="112" t="s">
        <v>12</v>
      </c>
      <c r="C289" s="45">
        <v>286</v>
      </c>
      <c r="D289" s="140"/>
      <c r="E289" s="164">
        <v>9070</v>
      </c>
      <c r="F289" s="140"/>
      <c r="G289" s="140"/>
      <c r="H289" s="118" t="str">
        <f>CONCATENATE(Р2[[#This Row],[Пр. ПРОК]]," ",Р2[[#This Row],[Пр. МВД]]," ",Р2[[#This Row],[Пр. ГКНБ]]," ",Р2[[#This Row],[Пр. ГСИН]])</f>
        <v xml:space="preserve">   </v>
      </c>
      <c r="I289" s="109"/>
      <c r="J289" s="109"/>
      <c r="K289" s="109"/>
      <c r="L289" s="109"/>
      <c r="M289" s="71"/>
    </row>
    <row r="290" spans="1:13" ht="18" customHeight="1" x14ac:dyDescent="0.25">
      <c r="A290" s="92" t="s">
        <v>520</v>
      </c>
      <c r="B290" s="113" t="s">
        <v>825</v>
      </c>
      <c r="C290" s="45">
        <v>287</v>
      </c>
      <c r="D290" s="140"/>
      <c r="E290" s="164">
        <v>1254</v>
      </c>
      <c r="F290" s="140"/>
      <c r="G290" s="140"/>
      <c r="H290" s="118" t="str">
        <f>CONCATENATE(Р2[[#This Row],[Пр. ПРОК]]," ",Р2[[#This Row],[Пр. МВД]]," ",Р2[[#This Row],[Пр. ГКНБ]]," ",Р2[[#This Row],[Пр. ГСИН]])</f>
        <v xml:space="preserve">   </v>
      </c>
      <c r="I290" s="70"/>
      <c r="J290" s="70"/>
      <c r="K290" s="70"/>
      <c r="L290" s="70"/>
      <c r="M290" s="71"/>
    </row>
    <row r="291" spans="1:13" ht="18" customHeight="1" x14ac:dyDescent="0.25">
      <c r="A291" s="92" t="s">
        <v>520</v>
      </c>
      <c r="B291" s="112" t="s">
        <v>11</v>
      </c>
      <c r="C291" s="45">
        <v>288</v>
      </c>
      <c r="D291" s="140"/>
      <c r="E291" s="164">
        <v>2541</v>
      </c>
      <c r="F291" s="140"/>
      <c r="G291" s="140"/>
      <c r="H291" s="118" t="str">
        <f>CONCATENATE(Р2[[#This Row],[Пр. ПРОК]]," ",Р2[[#This Row],[Пр. МВД]]," ",Р2[[#This Row],[Пр. ГКНБ]]," ",Р2[[#This Row],[Пр. ГСИН]])</f>
        <v xml:space="preserve">   </v>
      </c>
      <c r="I291" s="70"/>
      <c r="J291" s="70"/>
      <c r="K291" s="70"/>
      <c r="L291" s="70"/>
      <c r="M291" s="71"/>
    </row>
    <row r="292" spans="1:13" ht="18" customHeight="1" x14ac:dyDescent="0.25">
      <c r="A292" s="92" t="s">
        <v>520</v>
      </c>
      <c r="B292" s="112" t="s">
        <v>10</v>
      </c>
      <c r="C292" s="45">
        <v>289</v>
      </c>
      <c r="D292" s="140"/>
      <c r="E292" s="164">
        <v>1147</v>
      </c>
      <c r="F292" s="140"/>
      <c r="G292" s="140"/>
      <c r="H292" s="118" t="str">
        <f>CONCATENATE(Р2[[#This Row],[Пр. ПРОК]]," ",Р2[[#This Row],[Пр. МВД]]," ",Р2[[#This Row],[Пр. ГКНБ]]," ",Р2[[#This Row],[Пр. ГСИН]])</f>
        <v xml:space="preserve">   </v>
      </c>
      <c r="I292" s="70"/>
      <c r="J292" s="70"/>
      <c r="K292" s="70"/>
      <c r="L292" s="70"/>
      <c r="M292" s="71"/>
    </row>
    <row r="293" spans="1:13" ht="18" customHeight="1" x14ac:dyDescent="0.25">
      <c r="A293" s="131"/>
      <c r="B293" s="132" t="s">
        <v>880</v>
      </c>
      <c r="C293" s="45">
        <v>290</v>
      </c>
      <c r="D293" s="142"/>
      <c r="E293" s="164">
        <v>640</v>
      </c>
      <c r="F293" s="142"/>
      <c r="G293" s="142"/>
      <c r="H293" s="120" t="str">
        <f>CONCATENATE(Р2[[#This Row],[Пр. ПРОК]]," ",Р2[[#This Row],[Пр. МВД]]," ",Р2[[#This Row],[Пр. ГКНБ]]," ",Р2[[#This Row],[Пр. ГСИН]])</f>
        <v xml:space="preserve">   </v>
      </c>
      <c r="I293" s="83"/>
      <c r="J293" s="83"/>
      <c r="K293" s="83"/>
      <c r="L293" s="83"/>
      <c r="M293" s="88"/>
    </row>
    <row r="294" spans="1:13" ht="18" customHeight="1" x14ac:dyDescent="0.25">
      <c r="A294" s="92" t="s">
        <v>520</v>
      </c>
      <c r="B294" s="112" t="s">
        <v>9</v>
      </c>
      <c r="C294" s="45">
        <v>291</v>
      </c>
      <c r="D294" s="140"/>
      <c r="E294" s="164">
        <v>548</v>
      </c>
      <c r="F294" s="140"/>
      <c r="G294" s="140"/>
      <c r="H294" s="118" t="str">
        <f>CONCATENATE(Р2[[#This Row],[Пр. ПРОК]]," ",Р2[[#This Row],[Пр. МВД]]," ",Р2[[#This Row],[Пр. ГКНБ]]," ",Р2[[#This Row],[Пр. ГСИН]])</f>
        <v xml:space="preserve">   </v>
      </c>
      <c r="I294" s="70"/>
      <c r="J294" s="70"/>
      <c r="K294" s="70"/>
      <c r="L294" s="70"/>
      <c r="M294" s="71"/>
    </row>
    <row r="295" spans="1:13" ht="18" customHeight="1" x14ac:dyDescent="0.25">
      <c r="A295" s="92"/>
      <c r="B295" s="112" t="s">
        <v>928</v>
      </c>
      <c r="C295" s="45">
        <v>292</v>
      </c>
      <c r="D295" s="143"/>
      <c r="E295" s="164">
        <v>1816</v>
      </c>
      <c r="F295" s="143"/>
      <c r="G295" s="143"/>
      <c r="H295" s="118" t="str">
        <f>CONCATENATE(Р2[[#This Row],[Пр. ПРОК]]," ",Р2[[#This Row],[Пр. МВД]]," ",Р2[[#This Row],[Пр. ГКНБ]]," ",Р2[[#This Row],[Пр. ГСИН]])</f>
        <v xml:space="preserve">   </v>
      </c>
      <c r="I295" s="70"/>
      <c r="J295" s="70"/>
      <c r="K295" s="70"/>
      <c r="L295" s="70"/>
      <c r="M295" s="71"/>
    </row>
    <row r="296" spans="1:13" ht="18" customHeight="1" x14ac:dyDescent="0.25">
      <c r="A296" s="92" t="s">
        <v>520</v>
      </c>
      <c r="B296" s="113" t="s">
        <v>867</v>
      </c>
      <c r="C296" s="45">
        <v>293</v>
      </c>
      <c r="D296" s="140"/>
      <c r="E296" s="164">
        <v>71</v>
      </c>
      <c r="F296" s="140"/>
      <c r="G296" s="140"/>
      <c r="H296" s="118" t="str">
        <f>CONCATENATE(Р2[[#This Row],[Пр. ПРОК]]," ",Р2[[#This Row],[Пр. МВД]]," ",Р2[[#This Row],[Пр. ГКНБ]]," ",Р2[[#This Row],[Пр. ГСИН]])</f>
        <v xml:space="preserve">   </v>
      </c>
      <c r="I296" s="70"/>
      <c r="J296" s="70"/>
      <c r="K296" s="70"/>
      <c r="L296" s="70"/>
      <c r="M296" s="71"/>
    </row>
    <row r="297" spans="1:13" ht="18" customHeight="1" x14ac:dyDescent="0.25">
      <c r="A297" s="92" t="s">
        <v>520</v>
      </c>
      <c r="B297" s="114" t="s">
        <v>8</v>
      </c>
      <c r="C297" s="45">
        <v>294</v>
      </c>
      <c r="D297" s="144"/>
      <c r="E297" s="144">
        <v>1395</v>
      </c>
      <c r="F297" s="144"/>
      <c r="G297" s="144"/>
      <c r="H297" s="119" t="str">
        <f>CONCATENATE(Р2[[#This Row],[Пр. ПРОК]]," ",Р2[[#This Row],[Пр. МВД]]," ",Р2[[#This Row],[Пр. ГКНБ]]," ",Р2[[#This Row],[Пр. ГСИН]])</f>
        <v xml:space="preserve">   </v>
      </c>
      <c r="I297" s="80" t="str">
        <f>IF(Р2[[#This Row],[Прокуратура]]&gt;=(D301+D302),"",CONCATENATE("Прок: ",$C$297,"&gt;=(",$C$301,"+",$C$302,")"))</f>
        <v/>
      </c>
      <c r="J297" s="80" t="str">
        <f>IF(Р2[[#This Row],[МВД]]&gt;=(E301+E302),"",CONCATENATE(Р2[[#Headers],[МВД]],": ",$C$297,"&gt;=(",$C$301,"+",$C$302,")"))</f>
        <v/>
      </c>
      <c r="K297" s="80" t="str">
        <f>IF(Р2[[#This Row],[ГКНБ]]&gt;=(F301+F302),"",CONCATENATE(Р2[[#Headers],[ГКНБ]],": ",$C$297,"&gt;=(",$C$301,"+",$C$302,")"))</f>
        <v/>
      </c>
      <c r="L297" s="80" t="str">
        <f>IF(Р2[[#This Row],[ГСИН]]&gt;=(G301+G302),"",CONCATENATE(Р2[[#Headers],[ГСИН]],": ",$C$297,"&gt;=(",$C$301,"+",$C$302,")"))</f>
        <v/>
      </c>
      <c r="M297" s="71"/>
    </row>
    <row r="298" spans="1:13" ht="18" customHeight="1" x14ac:dyDescent="0.25">
      <c r="A298" s="92"/>
      <c r="B298" s="95" t="s">
        <v>83</v>
      </c>
      <c r="C298" s="45">
        <v>295</v>
      </c>
      <c r="D298" s="140"/>
      <c r="E298" s="164"/>
      <c r="F298" s="140"/>
      <c r="G298" s="140"/>
      <c r="H298" s="119" t="str">
        <f>CONCATENATE(Р2[[#This Row],[Пр. ПРОК]]," ",Р2[[#This Row],[Пр. МВД]]," ",Р2[[#This Row],[Пр. ГКНБ]]," ",Р2[[#This Row],[Пр. ГСИН]])</f>
        <v xml:space="preserve">   </v>
      </c>
      <c r="I298" s="80"/>
      <c r="J298" s="80"/>
      <c r="K298" s="80"/>
      <c r="L298" s="80"/>
      <c r="M298" s="71"/>
    </row>
    <row r="299" spans="1:13" ht="18" customHeight="1" x14ac:dyDescent="0.25">
      <c r="A299" s="92"/>
      <c r="B299" s="97" t="s">
        <v>72</v>
      </c>
      <c r="C299" s="45">
        <v>296</v>
      </c>
      <c r="D299" s="140"/>
      <c r="E299" s="164">
        <v>1393</v>
      </c>
      <c r="F299" s="140"/>
      <c r="G299" s="140"/>
      <c r="H299" s="119" t="str">
        <f>CONCATENATE(Р2[[#This Row],[Пр. ПРОК]]," ",Р2[[#This Row],[Пр. МВД]]," ",Р2[[#This Row],[Пр. ГКНБ]]," ",Р2[[#This Row],[Пр. ГСИН]])</f>
        <v xml:space="preserve">   </v>
      </c>
      <c r="I299" s="80"/>
      <c r="J299" s="80"/>
      <c r="K299" s="80"/>
      <c r="L299" s="80"/>
      <c r="M299" s="71"/>
    </row>
    <row r="300" spans="1:13" ht="18" customHeight="1" x14ac:dyDescent="0.25">
      <c r="A300" s="92"/>
      <c r="B300" s="95" t="s">
        <v>71</v>
      </c>
      <c r="C300" s="45">
        <v>297</v>
      </c>
      <c r="D300" s="140"/>
      <c r="E300" s="164">
        <v>2</v>
      </c>
      <c r="F300" s="140"/>
      <c r="G300" s="140"/>
      <c r="H300" s="119" t="str">
        <f>CONCATENATE(Р2[[#This Row],[Пр. ПРОК]]," ",Р2[[#This Row],[Пр. МВД]]," ",Р2[[#This Row],[Пр. ГКНБ]]," ",Р2[[#This Row],[Пр. ГСИН]])</f>
        <v xml:space="preserve">   </v>
      </c>
      <c r="I300" s="80"/>
      <c r="J300" s="80"/>
      <c r="K300" s="80"/>
      <c r="L300" s="80"/>
      <c r="M300" s="71"/>
    </row>
    <row r="301" spans="1:13" ht="18" customHeight="1" x14ac:dyDescent="0.25">
      <c r="A301" s="92" t="s">
        <v>520</v>
      </c>
      <c r="B301" s="104" t="s">
        <v>528</v>
      </c>
      <c r="C301" s="45">
        <v>298</v>
      </c>
      <c r="D301" s="140"/>
      <c r="E301" s="164">
        <v>1070</v>
      </c>
      <c r="F301" s="140"/>
      <c r="G301" s="140"/>
      <c r="H301" s="118" t="str">
        <f>CONCATENATE(Р2[[#This Row],[Пр. ПРОК]]," ",Р2[[#This Row],[Пр. МВД]]," ",Р2[[#This Row],[Пр. ГКНБ]]," ",Р2[[#This Row],[Пр. ГСИН]])</f>
        <v xml:space="preserve">   </v>
      </c>
      <c r="I301" s="70"/>
      <c r="J301" s="70"/>
      <c r="K301" s="70"/>
      <c r="L301" s="70"/>
      <c r="M301" s="71"/>
    </row>
    <row r="302" spans="1:13" ht="18" customHeight="1" x14ac:dyDescent="0.25">
      <c r="A302" s="92"/>
      <c r="B302" s="104" t="s">
        <v>916</v>
      </c>
      <c r="C302" s="45">
        <v>299</v>
      </c>
      <c r="D302" s="140"/>
      <c r="E302" s="164">
        <v>325</v>
      </c>
      <c r="F302" s="140"/>
      <c r="G302" s="140"/>
      <c r="H302" s="118" t="str">
        <f>CONCATENATE(Р2[[#This Row],[Пр. ПРОК]]," ",Р2[[#This Row],[Пр. МВД]]," ",Р2[[#This Row],[Пр. ГКНБ]]," ",Р2[[#This Row],[Пр. ГСИН]])</f>
        <v xml:space="preserve">   </v>
      </c>
      <c r="I302" s="70"/>
      <c r="J302" s="70"/>
      <c r="K302" s="70"/>
      <c r="L302" s="70"/>
      <c r="M302" s="71"/>
    </row>
    <row r="303" spans="1:13" ht="18" customHeight="1" x14ac:dyDescent="0.25">
      <c r="A303" s="92"/>
      <c r="B303" s="114" t="s">
        <v>7</v>
      </c>
      <c r="C303" s="45">
        <v>300</v>
      </c>
      <c r="D303" s="140"/>
      <c r="E303" s="164">
        <v>2</v>
      </c>
      <c r="F303" s="140"/>
      <c r="G303" s="140"/>
      <c r="H303" s="118" t="str">
        <f>CONCATENATE(Р2[[#This Row],[Пр. ПРОК]]," ",Р2[[#This Row],[Пр. МВД]]," ",Р2[[#This Row],[Пр. ГКНБ]]," ",Р2[[#This Row],[Пр. ГСИН]])</f>
        <v xml:space="preserve">   </v>
      </c>
      <c r="I303" s="70"/>
      <c r="J303" s="70"/>
      <c r="K303" s="70"/>
      <c r="L303" s="70"/>
      <c r="M303" s="71"/>
    </row>
    <row r="304" spans="1:13" ht="18" customHeight="1" x14ac:dyDescent="0.25">
      <c r="A304" s="92" t="s">
        <v>520</v>
      </c>
      <c r="B304" s="108" t="s">
        <v>6</v>
      </c>
      <c r="C304" s="45">
        <v>301</v>
      </c>
      <c r="D304" s="141">
        <f t="shared" ref="D304:F304" si="13">SUM(D305:D320)</f>
        <v>0</v>
      </c>
      <c r="E304" s="141">
        <f t="shared" si="13"/>
        <v>9070</v>
      </c>
      <c r="F304" s="141">
        <f t="shared" si="13"/>
        <v>0</v>
      </c>
      <c r="G304" s="141">
        <f>SUM(G305:G320)</f>
        <v>0</v>
      </c>
      <c r="H304" s="119" t="str">
        <f>CONCATENATE(Р2[[#This Row],[Пр. ПРОК]]," ",Р2[[#This Row],[Пр. МВД]]," ",Р2[[#This Row],[Пр. ГКНБ]]," ",Р2[[#This Row],[Пр. ГСИН]])</f>
        <v xml:space="preserve">   </v>
      </c>
      <c r="I304" s="77" t="str">
        <f>IF(Р2[[#This Row],[Прокуратура]]=D289,"",CONCATENATE("Прок: ",$C$304,"=",$C$289))</f>
        <v/>
      </c>
      <c r="J304" s="77" t="str">
        <f>IF(Р2[[#This Row],[МВД]]=E289,"",CONCATENATE(Р2[[#Headers],[МВД]],": ",$C$304,"=",$C$289))</f>
        <v/>
      </c>
      <c r="K304" s="77" t="str">
        <f>IF(Р2[[#This Row],[ГКНБ]]=F289,"",CONCATENATE(Р2[[#Headers],[ГКНБ]],": ",$C$304,"=",$C$289))</f>
        <v/>
      </c>
      <c r="L304" s="77" t="str">
        <f>IF(Р2[[#This Row],[ГСИН]]=G289,"",CONCATENATE(Р2[[#Headers],[ГСИН]],": ",$C$304,"=",$C$289))</f>
        <v/>
      </c>
      <c r="M304" s="71"/>
    </row>
    <row r="305" spans="1:13" ht="18" customHeight="1" x14ac:dyDescent="0.25">
      <c r="A305" s="92" t="s">
        <v>520</v>
      </c>
      <c r="B305" s="115" t="s">
        <v>835</v>
      </c>
      <c r="C305" s="45">
        <v>302</v>
      </c>
      <c r="D305" s="140"/>
      <c r="E305" s="164">
        <v>64</v>
      </c>
      <c r="F305" s="140"/>
      <c r="G305" s="140"/>
      <c r="H305" s="118" t="str">
        <f>CONCATENATE(Р2[[#This Row],[Пр. ПРОК]]," ",Р2[[#This Row],[Пр. МВД]]," ",Р2[[#This Row],[Пр. ГКНБ]]," ",Р2[[#This Row],[Пр. ГСИН]])</f>
        <v xml:space="preserve">   </v>
      </c>
      <c r="I305" s="70"/>
      <c r="J305" s="70"/>
      <c r="K305" s="70"/>
      <c r="L305" s="70"/>
      <c r="M305" s="71"/>
    </row>
    <row r="306" spans="1:13" ht="18" customHeight="1" x14ac:dyDescent="0.25">
      <c r="A306" s="92" t="s">
        <v>520</v>
      </c>
      <c r="B306" s="115" t="s">
        <v>836</v>
      </c>
      <c r="C306" s="45">
        <v>303</v>
      </c>
      <c r="D306" s="140"/>
      <c r="E306" s="164">
        <v>8049</v>
      </c>
      <c r="F306" s="140"/>
      <c r="G306" s="140"/>
      <c r="H306" s="118" t="str">
        <f>CONCATENATE(Р2[[#This Row],[Пр. ПРОК]]," ",Р2[[#This Row],[Пр. МВД]]," ",Р2[[#This Row],[Пр. ГКНБ]]," ",Р2[[#This Row],[Пр. ГСИН]])</f>
        <v xml:space="preserve">   </v>
      </c>
      <c r="I306" s="70"/>
      <c r="J306" s="70"/>
      <c r="K306" s="70"/>
      <c r="L306" s="70"/>
      <c r="M306" s="71"/>
    </row>
    <row r="307" spans="1:13" ht="18" customHeight="1" x14ac:dyDescent="0.25">
      <c r="A307" s="92" t="s">
        <v>520</v>
      </c>
      <c r="B307" s="115" t="s">
        <v>5</v>
      </c>
      <c r="C307" s="45">
        <v>304</v>
      </c>
      <c r="D307" s="140"/>
      <c r="E307" s="164"/>
      <c r="F307" s="140"/>
      <c r="G307" s="140"/>
      <c r="H307" s="118" t="str">
        <f>CONCATENATE(Р2[[#This Row],[Пр. ПРОК]]," ",Р2[[#This Row],[Пр. МВД]]," ",Р2[[#This Row],[Пр. ГКНБ]]," ",Р2[[#This Row],[Пр. ГСИН]])</f>
        <v xml:space="preserve">   </v>
      </c>
      <c r="I307" s="70"/>
      <c r="J307" s="70"/>
      <c r="K307" s="70"/>
      <c r="L307" s="70"/>
      <c r="M307" s="71"/>
    </row>
    <row r="308" spans="1:13" ht="18" customHeight="1" x14ac:dyDescent="0.25">
      <c r="A308" s="92" t="s">
        <v>520</v>
      </c>
      <c r="B308" s="115" t="s">
        <v>4</v>
      </c>
      <c r="C308" s="45">
        <v>305</v>
      </c>
      <c r="D308" s="140"/>
      <c r="E308" s="164">
        <v>695</v>
      </c>
      <c r="F308" s="140"/>
      <c r="G308" s="140"/>
      <c r="H308" s="118" t="str">
        <f>CONCATENATE(Р2[[#This Row],[Пр. ПРОК]]," ",Р2[[#This Row],[Пр. МВД]]," ",Р2[[#This Row],[Пр. ГКНБ]]," ",Р2[[#This Row],[Пр. ГСИН]])</f>
        <v xml:space="preserve">   </v>
      </c>
      <c r="I308" s="70"/>
      <c r="J308" s="70"/>
      <c r="K308" s="70"/>
      <c r="L308" s="70"/>
      <c r="M308" s="71"/>
    </row>
    <row r="309" spans="1:13" ht="18" customHeight="1" x14ac:dyDescent="0.25">
      <c r="A309" s="92" t="s">
        <v>520</v>
      </c>
      <c r="B309" s="115" t="s">
        <v>534</v>
      </c>
      <c r="C309" s="45">
        <v>306</v>
      </c>
      <c r="D309" s="140"/>
      <c r="E309" s="164">
        <v>18</v>
      </c>
      <c r="F309" s="140"/>
      <c r="G309" s="140"/>
      <c r="H309" s="118" t="str">
        <f>CONCATENATE(Р2[[#This Row],[Пр. ПРОК]]," ",Р2[[#This Row],[Пр. МВД]]," ",Р2[[#This Row],[Пр. ГКНБ]]," ",Р2[[#This Row],[Пр. ГСИН]])</f>
        <v xml:space="preserve">   </v>
      </c>
      <c r="I309" s="70"/>
      <c r="J309" s="70"/>
      <c r="K309" s="70"/>
      <c r="L309" s="70"/>
      <c r="M309" s="71"/>
    </row>
    <row r="310" spans="1:13" ht="18" customHeight="1" x14ac:dyDescent="0.25">
      <c r="A310" s="92" t="s">
        <v>520</v>
      </c>
      <c r="B310" s="115" t="s">
        <v>535</v>
      </c>
      <c r="C310" s="45">
        <v>307</v>
      </c>
      <c r="D310" s="140"/>
      <c r="E310" s="164">
        <v>56</v>
      </c>
      <c r="F310" s="140"/>
      <c r="G310" s="140"/>
      <c r="H310" s="118" t="str">
        <f>CONCATENATE(Р2[[#This Row],[Пр. ПРОК]]," ",Р2[[#This Row],[Пр. МВД]]," ",Р2[[#This Row],[Пр. ГКНБ]]," ",Р2[[#This Row],[Пр. ГСИН]])</f>
        <v xml:space="preserve">   </v>
      </c>
      <c r="I310" s="70"/>
      <c r="J310" s="70"/>
      <c r="K310" s="70"/>
      <c r="L310" s="70"/>
      <c r="M310" s="71"/>
    </row>
    <row r="311" spans="1:13" ht="18" customHeight="1" x14ac:dyDescent="0.25">
      <c r="A311" s="92" t="s">
        <v>520</v>
      </c>
      <c r="B311" s="115" t="s">
        <v>536</v>
      </c>
      <c r="C311" s="45">
        <v>308</v>
      </c>
      <c r="D311" s="140"/>
      <c r="E311" s="164">
        <v>1</v>
      </c>
      <c r="F311" s="140"/>
      <c r="G311" s="140"/>
      <c r="H311" s="118" t="str">
        <f>CONCATENATE(Р2[[#This Row],[Пр. ПРОК]]," ",Р2[[#This Row],[Пр. МВД]]," ",Р2[[#This Row],[Пр. ГКНБ]]," ",Р2[[#This Row],[Пр. ГСИН]])</f>
        <v xml:space="preserve">   </v>
      </c>
      <c r="I311" s="70"/>
      <c r="J311" s="70"/>
      <c r="K311" s="70"/>
      <c r="L311" s="70"/>
      <c r="M311" s="71"/>
    </row>
    <row r="312" spans="1:13" ht="15.75" x14ac:dyDescent="0.25">
      <c r="A312" s="92" t="s">
        <v>520</v>
      </c>
      <c r="B312" s="115" t="s">
        <v>537</v>
      </c>
      <c r="C312" s="45">
        <v>309</v>
      </c>
      <c r="D312" s="140"/>
      <c r="E312" s="164"/>
      <c r="F312" s="140"/>
      <c r="G312" s="140"/>
      <c r="H312" s="118" t="str">
        <f>CONCATENATE(Р2[[#This Row],[Пр. ПРОК]]," ",Р2[[#This Row],[Пр. МВД]]," ",Р2[[#This Row],[Пр. ГКНБ]]," ",Р2[[#This Row],[Пр. ГСИН]])</f>
        <v xml:space="preserve">   </v>
      </c>
      <c r="I312" s="70"/>
      <c r="J312" s="70"/>
      <c r="K312" s="70"/>
      <c r="L312" s="70"/>
      <c r="M312" s="71"/>
    </row>
    <row r="313" spans="1:13" ht="15.75" x14ac:dyDescent="0.25">
      <c r="A313" s="92" t="s">
        <v>520</v>
      </c>
      <c r="B313" s="115" t="s">
        <v>546</v>
      </c>
      <c r="C313" s="45">
        <v>310</v>
      </c>
      <c r="D313" s="140"/>
      <c r="E313" s="164"/>
      <c r="F313" s="140"/>
      <c r="G313" s="140"/>
      <c r="H313" s="118" t="str">
        <f>CONCATENATE(Р2[[#This Row],[Пр. ПРОК]]," ",Р2[[#This Row],[Пр. МВД]]," ",Р2[[#This Row],[Пр. ГКНБ]]," ",Р2[[#This Row],[Пр. ГСИН]])</f>
        <v xml:space="preserve">   </v>
      </c>
      <c r="I313" s="70"/>
      <c r="J313" s="70"/>
      <c r="K313" s="70"/>
      <c r="L313" s="70"/>
      <c r="M313" s="71"/>
    </row>
    <row r="314" spans="1:13" ht="15.75" x14ac:dyDescent="0.25">
      <c r="A314" s="92"/>
      <c r="B314" s="115" t="s">
        <v>906</v>
      </c>
      <c r="C314" s="45">
        <v>311</v>
      </c>
      <c r="D314" s="140"/>
      <c r="E314" s="164"/>
      <c r="F314" s="140"/>
      <c r="G314" s="143"/>
      <c r="H314" s="118" t="str">
        <f>CONCATENATE(Р2[[#This Row],[Пр. ПРОК]]," ",Р2[[#This Row],[Пр. МВД]]," ",Р2[[#This Row],[Пр. ГКНБ]]," ",Р2[[#This Row],[Пр. ГСИН]])</f>
        <v xml:space="preserve">   </v>
      </c>
      <c r="I314" s="70"/>
      <c r="J314" s="70"/>
      <c r="K314" s="70"/>
      <c r="L314" s="70"/>
      <c r="M314" s="71"/>
    </row>
    <row r="315" spans="1:13" ht="15.75" x14ac:dyDescent="0.25">
      <c r="A315" s="92" t="s">
        <v>520</v>
      </c>
      <c r="B315" s="95" t="s">
        <v>3</v>
      </c>
      <c r="C315" s="45">
        <v>312</v>
      </c>
      <c r="D315" s="140"/>
      <c r="E315" s="164"/>
      <c r="F315" s="140"/>
      <c r="G315" s="140"/>
      <c r="H315" s="118" t="str">
        <f>CONCATENATE(Р2[[#This Row],[Пр. ПРОК]]," ",Р2[[#This Row],[Пр. МВД]]," ",Р2[[#This Row],[Пр. ГКНБ]]," ",Р2[[#This Row],[Пр. ГСИН]])</f>
        <v xml:space="preserve">   </v>
      </c>
      <c r="I315" s="70"/>
      <c r="J315" s="70"/>
      <c r="K315" s="70"/>
      <c r="L315" s="70"/>
      <c r="M315" s="71"/>
    </row>
    <row r="316" spans="1:13" ht="15.75" x14ac:dyDescent="0.25">
      <c r="A316" s="92" t="s">
        <v>520</v>
      </c>
      <c r="B316" s="115" t="s">
        <v>547</v>
      </c>
      <c r="C316" s="45">
        <v>313</v>
      </c>
      <c r="D316" s="140"/>
      <c r="E316" s="164"/>
      <c r="F316" s="140"/>
      <c r="G316" s="140"/>
      <c r="H316" s="118" t="str">
        <f>CONCATENATE(Р2[[#This Row],[Пр. ПРОК]]," ",Р2[[#This Row],[Пр. МВД]]," ",Р2[[#This Row],[Пр. ГКНБ]]," ",Р2[[#This Row],[Пр. ГСИН]])</f>
        <v xml:space="preserve">   </v>
      </c>
      <c r="I316" s="70"/>
      <c r="J316" s="70"/>
      <c r="K316" s="70"/>
      <c r="L316" s="70"/>
      <c r="M316" s="71"/>
    </row>
    <row r="317" spans="1:13" ht="15.75" x14ac:dyDescent="0.25">
      <c r="A317" s="92" t="s">
        <v>520</v>
      </c>
      <c r="B317" s="95" t="s">
        <v>2</v>
      </c>
      <c r="C317" s="45">
        <v>314</v>
      </c>
      <c r="D317" s="143"/>
      <c r="E317" s="164">
        <v>12</v>
      </c>
      <c r="F317" s="143"/>
      <c r="G317" s="143"/>
      <c r="H317" s="118" t="str">
        <f>CONCATENATE(Р2[[#This Row],[Пр. ПРОК]]," ",Р2[[#This Row],[Пр. МВД]]," ",Р2[[#This Row],[Пр. ГКНБ]]," ",Р2[[#This Row],[Пр. ГСИН]])</f>
        <v xml:space="preserve">   </v>
      </c>
      <c r="I317" s="70"/>
      <c r="J317" s="70"/>
      <c r="K317" s="70"/>
      <c r="L317" s="70"/>
      <c r="M317" s="71"/>
    </row>
    <row r="318" spans="1:13" ht="15.75" x14ac:dyDescent="0.25">
      <c r="A318" s="92"/>
      <c r="B318" s="115" t="s">
        <v>548</v>
      </c>
      <c r="C318" s="45">
        <v>315</v>
      </c>
      <c r="D318" s="143"/>
      <c r="E318" s="164">
        <v>175</v>
      </c>
      <c r="F318" s="143"/>
      <c r="G318" s="143"/>
      <c r="H318" s="118" t="str">
        <f>CONCATENATE(Р2[[#This Row],[Пр. ПРОК]]," ",Р2[[#This Row],[Пр. МВД]]," ",Р2[[#This Row],[Пр. ГКНБ]]," ",Р2[[#This Row],[Пр. ГСИН]])</f>
        <v xml:space="preserve">   </v>
      </c>
      <c r="I318" s="70"/>
      <c r="J318" s="70"/>
      <c r="K318" s="70"/>
      <c r="L318" s="70"/>
      <c r="M318" s="71"/>
    </row>
    <row r="319" spans="1:13" ht="15.75" x14ac:dyDescent="0.25">
      <c r="A319" s="92" t="s">
        <v>520</v>
      </c>
      <c r="B319" s="115" t="s">
        <v>543</v>
      </c>
      <c r="C319" s="45">
        <v>316</v>
      </c>
      <c r="D319" s="143"/>
      <c r="E319" s="167"/>
      <c r="F319" s="143"/>
      <c r="G319" s="143"/>
      <c r="H319" s="118" t="str">
        <f>CONCATENATE(Р2[[#This Row],[Пр. ПРОК]]," ",Р2[[#This Row],[Пр. МВД]]," ",Р2[[#This Row],[Пр. ГКНБ]]," ",Р2[[#This Row],[Пр. ГСИН]])</f>
        <v xml:space="preserve">   </v>
      </c>
      <c r="I319" s="70"/>
      <c r="J319" s="70"/>
      <c r="K319" s="70"/>
      <c r="L319" s="70"/>
      <c r="M319" s="71"/>
    </row>
    <row r="320" spans="1:13" ht="15.75" x14ac:dyDescent="0.25">
      <c r="A320" s="92" t="s">
        <v>520</v>
      </c>
      <c r="B320" s="115" t="s">
        <v>544</v>
      </c>
      <c r="C320" s="45">
        <v>317</v>
      </c>
      <c r="D320" s="143"/>
      <c r="E320" s="167"/>
      <c r="F320" s="143"/>
      <c r="G320" s="143"/>
      <c r="H320" s="118" t="str">
        <f>CONCATENATE(Р2[[#This Row],[Пр. ПРОК]]," ",Р2[[#This Row],[Пр. МВД]]," ",Р2[[#This Row],[Пр. ГКНБ]]," ",Р2[[#This Row],[Пр. ГСИН]])</f>
        <v xml:space="preserve">   </v>
      </c>
      <c r="I320" s="70"/>
      <c r="J320" s="70"/>
      <c r="K320" s="70"/>
      <c r="L320" s="70"/>
      <c r="M320" s="71"/>
    </row>
    <row r="321" spans="2:7" x14ac:dyDescent="0.25">
      <c r="B321" s="16"/>
      <c r="C321" s="17"/>
      <c r="D321" s="123"/>
      <c r="E321" s="123"/>
      <c r="F321" s="123"/>
      <c r="G321" s="32"/>
    </row>
    <row r="322" spans="2:7" ht="15.75" x14ac:dyDescent="0.25">
      <c r="B322" s="129" t="s">
        <v>1</v>
      </c>
      <c r="C322" s="17"/>
      <c r="D322" s="123"/>
      <c r="E322" s="123"/>
      <c r="F322" s="123"/>
      <c r="G322" s="32"/>
    </row>
    <row r="323" spans="2:7" ht="15.75" x14ac:dyDescent="0.25">
      <c r="B323" s="130" t="s">
        <v>868</v>
      </c>
      <c r="C323" s="17"/>
      <c r="D323" s="123"/>
      <c r="E323" s="123"/>
      <c r="F323" s="123"/>
      <c r="G323" s="32"/>
    </row>
    <row r="324" spans="2:7" ht="15.75" x14ac:dyDescent="0.25">
      <c r="B324" s="130" t="s">
        <v>868</v>
      </c>
      <c r="C324" s="17"/>
      <c r="D324" s="123"/>
      <c r="E324" s="123"/>
      <c r="F324" s="123"/>
      <c r="G324" s="32"/>
    </row>
    <row r="325" spans="2:7" ht="17.25" customHeight="1" x14ac:dyDescent="0.25">
      <c r="B325" s="130" t="s">
        <v>868</v>
      </c>
      <c r="C325" s="17"/>
      <c r="D325" s="123"/>
      <c r="E325" s="123"/>
      <c r="F325" s="123"/>
      <c r="G325" s="32"/>
    </row>
    <row r="326" spans="2:7" ht="15.75" x14ac:dyDescent="0.25">
      <c r="B326" s="130" t="s">
        <v>868</v>
      </c>
      <c r="C326" s="17"/>
      <c r="D326" s="123"/>
      <c r="E326" s="123"/>
      <c r="F326" s="123"/>
      <c r="G326" s="32"/>
    </row>
    <row r="327" spans="2:7" ht="15.75" x14ac:dyDescent="0.25">
      <c r="B327" s="130"/>
      <c r="C327" s="17"/>
      <c r="D327" s="123"/>
      <c r="E327" s="123"/>
      <c r="F327" s="123"/>
      <c r="G327" s="32"/>
    </row>
    <row r="328" spans="2:7" ht="15.75" x14ac:dyDescent="0.25">
      <c r="B328" s="129" t="s">
        <v>0</v>
      </c>
      <c r="C328" s="17"/>
      <c r="D328" s="123"/>
      <c r="E328" s="123"/>
      <c r="F328" s="123"/>
      <c r="G328" s="32"/>
    </row>
    <row r="329" spans="2:7" ht="15.75" x14ac:dyDescent="0.25">
      <c r="B329" s="129"/>
      <c r="C329" s="17"/>
      <c r="D329" s="123"/>
      <c r="E329" s="123"/>
      <c r="F329" s="123"/>
      <c r="G329" s="32"/>
    </row>
    <row r="330" spans="2:7" ht="15.75" x14ac:dyDescent="0.25">
      <c r="B330" s="134" t="s">
        <v>883</v>
      </c>
      <c r="C330" s="17"/>
      <c r="D330" s="123"/>
      <c r="E330" s="123"/>
      <c r="F330" s="123"/>
      <c r="G330" s="32"/>
    </row>
    <row r="331" spans="2:7" ht="15.75" x14ac:dyDescent="0.25">
      <c r="B331" s="134" t="s">
        <v>884</v>
      </c>
      <c r="C331" s="17"/>
      <c r="D331" s="123"/>
      <c r="E331" s="123"/>
      <c r="F331" s="123"/>
      <c r="G331" s="32"/>
    </row>
    <row r="332" spans="2:7" ht="15.75" x14ac:dyDescent="0.25">
      <c r="B332" s="134" t="s">
        <v>885</v>
      </c>
      <c r="C332" s="17"/>
      <c r="D332" s="123"/>
      <c r="E332" s="123"/>
      <c r="F332" s="123"/>
      <c r="G332" s="32"/>
    </row>
    <row r="333" spans="2:7" ht="31.5" x14ac:dyDescent="0.25">
      <c r="B333" s="134" t="s">
        <v>882</v>
      </c>
      <c r="C333" s="17"/>
      <c r="D333" s="123"/>
      <c r="E333" s="123"/>
      <c r="F333" s="123"/>
      <c r="G333" s="32"/>
    </row>
    <row r="334" spans="2:7" x14ac:dyDescent="0.25">
      <c r="B334" s="16"/>
      <c r="C334" s="17"/>
      <c r="D334" s="123"/>
      <c r="E334" s="123"/>
      <c r="F334" s="123"/>
      <c r="G334" s="32"/>
    </row>
    <row r="335" spans="2:7" x14ac:dyDescent="0.25">
      <c r="B335" s="133" t="s">
        <v>886</v>
      </c>
      <c r="C335" s="16"/>
      <c r="D335" s="123"/>
      <c r="E335" s="123"/>
      <c r="F335" s="123"/>
      <c r="G335" s="32"/>
    </row>
    <row r="336" spans="2:7" ht="26.25" x14ac:dyDescent="0.25">
      <c r="B336" s="133" t="s">
        <v>887</v>
      </c>
      <c r="C336" s="16"/>
      <c r="D336" s="123"/>
      <c r="E336" s="123"/>
      <c r="F336" s="123"/>
      <c r="G336" s="32"/>
    </row>
  </sheetData>
  <sheetProtection sheet="1" objects="1" scenarios="1" formatCells="0"/>
  <phoneticPr fontId="25" type="noConversion"/>
  <dataValidations count="2">
    <dataValidation type="whole" allowBlank="1" showInputMessage="1" showErrorMessage="1" sqref="D68:G75 D77:G82 D109:G113 D124:G125 D85:G106 D194:G213 D215:G229 D263:G264 D274:G275 D52:G55 D231:G246 D4:G4 D128:G147 D248:G251 D305:G320 D57:G66 D149:G179 D286:G303 D6:G12 D14:G50 D13:E13 G13" xr:uid="{00000000-0002-0000-0200-000000000000}">
      <formula1>0</formula1>
      <formula2>1000000</formula2>
    </dataValidation>
    <dataValidation type="whole" operator="greaterThanOrEqual" allowBlank="1" showInputMessage="1" showErrorMessage="1" sqref="D252:G262 D265:G273 D276:G284" xr:uid="{00000000-0002-0000-0200-000001000000}">
      <formula1>0</formula1>
    </dataValidation>
  </dataValidations>
  <pageMargins left="0.23622047244094488" right="0.23622047244094488" top="0.74803149606299213" bottom="0.74803149606299213" header="0.31496062992125984" footer="0.31496062992125984"/>
  <pageSetup paperSize="9" scale="56" fitToHeight="0" orientation="portrait" horizontalDpi="4294967295" verticalDpi="4294967295" r:id="rId1"/>
  <ignoredErrors>
    <ignoredError sqref="F142:G142 D142:E142" unlockedFormula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/>
  <dimension ref="A1:B176"/>
  <sheetViews>
    <sheetView topLeftCell="A121" workbookViewId="0">
      <selection activeCell="F134" sqref="F134"/>
    </sheetView>
  </sheetViews>
  <sheetFormatPr defaultRowHeight="15" x14ac:dyDescent="0.25"/>
  <cols>
    <col min="1" max="1" width="55.28515625" bestFit="1" customWidth="1"/>
  </cols>
  <sheetData>
    <row r="1" spans="1:2" x14ac:dyDescent="0.25">
      <c r="A1" t="s">
        <v>557</v>
      </c>
      <c r="B1" t="s">
        <v>558</v>
      </c>
    </row>
    <row r="2" spans="1:2" x14ac:dyDescent="0.25">
      <c r="A2" t="s">
        <v>806</v>
      </c>
      <c r="B2">
        <v>150</v>
      </c>
    </row>
    <row r="3" spans="1:2" x14ac:dyDescent="0.25">
      <c r="A3" t="s">
        <v>634</v>
      </c>
      <c r="B3">
        <v>151</v>
      </c>
    </row>
    <row r="4" spans="1:2" x14ac:dyDescent="0.25">
      <c r="A4" t="s">
        <v>635</v>
      </c>
      <c r="B4">
        <v>141</v>
      </c>
    </row>
    <row r="5" spans="1:2" x14ac:dyDescent="0.25">
      <c r="A5" t="s">
        <v>636</v>
      </c>
      <c r="B5">
        <v>173</v>
      </c>
    </row>
    <row r="6" spans="1:2" x14ac:dyDescent="0.25">
      <c r="A6" t="s">
        <v>637</v>
      </c>
      <c r="B6">
        <v>152</v>
      </c>
    </row>
    <row r="7" spans="1:2" x14ac:dyDescent="0.25">
      <c r="A7" t="s">
        <v>638</v>
      </c>
      <c r="B7">
        <v>153</v>
      </c>
    </row>
    <row r="8" spans="1:2" x14ac:dyDescent="0.25">
      <c r="A8" t="s">
        <v>639</v>
      </c>
      <c r="B8">
        <v>154</v>
      </c>
    </row>
    <row r="9" spans="1:2" x14ac:dyDescent="0.25">
      <c r="A9" t="s">
        <v>640</v>
      </c>
      <c r="B9">
        <v>172</v>
      </c>
    </row>
    <row r="10" spans="1:2" x14ac:dyDescent="0.25">
      <c r="A10" t="s">
        <v>641</v>
      </c>
      <c r="B10">
        <v>170</v>
      </c>
    </row>
    <row r="11" spans="1:2" x14ac:dyDescent="0.25">
      <c r="A11" t="s">
        <v>642</v>
      </c>
      <c r="B11">
        <v>186</v>
      </c>
    </row>
    <row r="12" spans="1:2" x14ac:dyDescent="0.25">
      <c r="A12" t="s">
        <v>643</v>
      </c>
      <c r="B12">
        <v>102</v>
      </c>
    </row>
    <row r="13" spans="1:2" x14ac:dyDescent="0.25">
      <c r="A13" t="s">
        <v>644</v>
      </c>
      <c r="B13">
        <v>101</v>
      </c>
    </row>
    <row r="14" spans="1:2" x14ac:dyDescent="0.25">
      <c r="A14" t="s">
        <v>645</v>
      </c>
      <c r="B14">
        <v>103</v>
      </c>
    </row>
    <row r="15" spans="1:2" x14ac:dyDescent="0.25">
      <c r="A15" t="s">
        <v>646</v>
      </c>
      <c r="B15">
        <v>155</v>
      </c>
    </row>
    <row r="16" spans="1:2" x14ac:dyDescent="0.25">
      <c r="A16" t="s">
        <v>647</v>
      </c>
      <c r="B16">
        <v>111</v>
      </c>
    </row>
    <row r="17" spans="1:2" x14ac:dyDescent="0.25">
      <c r="A17" t="s">
        <v>648</v>
      </c>
      <c r="B17">
        <v>112</v>
      </c>
    </row>
    <row r="18" spans="1:2" x14ac:dyDescent="0.25">
      <c r="A18" t="s">
        <v>649</v>
      </c>
      <c r="B18">
        <v>105</v>
      </c>
    </row>
    <row r="19" spans="1:2" x14ac:dyDescent="0.25">
      <c r="A19" t="s">
        <v>650</v>
      </c>
      <c r="B19">
        <v>158</v>
      </c>
    </row>
    <row r="20" spans="1:2" x14ac:dyDescent="0.25">
      <c r="A20" t="s">
        <v>651</v>
      </c>
      <c r="B20">
        <v>109</v>
      </c>
    </row>
    <row r="21" spans="1:2" x14ac:dyDescent="0.25">
      <c r="A21" t="s">
        <v>652</v>
      </c>
      <c r="B21">
        <v>108</v>
      </c>
    </row>
    <row r="22" spans="1:2" x14ac:dyDescent="0.25">
      <c r="A22" t="s">
        <v>653</v>
      </c>
      <c r="B22">
        <v>104</v>
      </c>
    </row>
    <row r="23" spans="1:2" x14ac:dyDescent="0.25">
      <c r="A23" t="s">
        <v>654</v>
      </c>
      <c r="B23">
        <v>163</v>
      </c>
    </row>
    <row r="24" spans="1:2" x14ac:dyDescent="0.25">
      <c r="A24" t="s">
        <v>655</v>
      </c>
      <c r="B24">
        <v>106</v>
      </c>
    </row>
    <row r="25" spans="1:2" x14ac:dyDescent="0.25">
      <c r="A25" t="s">
        <v>656</v>
      </c>
      <c r="B25">
        <v>129</v>
      </c>
    </row>
    <row r="26" spans="1:2" x14ac:dyDescent="0.25">
      <c r="A26" t="s">
        <v>657</v>
      </c>
      <c r="B26">
        <v>130</v>
      </c>
    </row>
    <row r="27" spans="1:2" x14ac:dyDescent="0.25">
      <c r="A27" t="s">
        <v>658</v>
      </c>
      <c r="B27">
        <v>142</v>
      </c>
    </row>
    <row r="28" spans="1:2" x14ac:dyDescent="0.25">
      <c r="A28" t="s">
        <v>659</v>
      </c>
      <c r="B28">
        <v>134</v>
      </c>
    </row>
    <row r="29" spans="1:2" x14ac:dyDescent="0.25">
      <c r="A29" t="s">
        <v>660</v>
      </c>
      <c r="B29">
        <v>140</v>
      </c>
    </row>
    <row r="30" spans="1:2" x14ac:dyDescent="0.25">
      <c r="A30" t="s">
        <v>661</v>
      </c>
      <c r="B30">
        <v>147</v>
      </c>
    </row>
    <row r="31" spans="1:2" x14ac:dyDescent="0.25">
      <c r="A31" t="s">
        <v>662</v>
      </c>
      <c r="B31">
        <v>176</v>
      </c>
    </row>
    <row r="32" spans="1:2" x14ac:dyDescent="0.25">
      <c r="A32" t="s">
        <v>663</v>
      </c>
      <c r="B32">
        <v>116</v>
      </c>
    </row>
    <row r="33" spans="1:2" x14ac:dyDescent="0.25">
      <c r="A33" t="s">
        <v>664</v>
      </c>
      <c r="B33">
        <v>117</v>
      </c>
    </row>
    <row r="34" spans="1:2" x14ac:dyDescent="0.25">
      <c r="A34" t="s">
        <v>665</v>
      </c>
      <c r="B34">
        <v>159</v>
      </c>
    </row>
    <row r="35" spans="1:2" x14ac:dyDescent="0.25">
      <c r="A35" t="s">
        <v>666</v>
      </c>
      <c r="B35">
        <v>114</v>
      </c>
    </row>
    <row r="36" spans="1:2" x14ac:dyDescent="0.25">
      <c r="A36" t="s">
        <v>667</v>
      </c>
      <c r="B36">
        <v>115</v>
      </c>
    </row>
    <row r="37" spans="1:2" x14ac:dyDescent="0.25">
      <c r="A37" t="s">
        <v>668</v>
      </c>
      <c r="B37">
        <v>118</v>
      </c>
    </row>
    <row r="38" spans="1:2" x14ac:dyDescent="0.25">
      <c r="A38" t="s">
        <v>669</v>
      </c>
      <c r="B38">
        <v>119</v>
      </c>
    </row>
    <row r="39" spans="1:2" x14ac:dyDescent="0.25">
      <c r="A39" t="s">
        <v>670</v>
      </c>
      <c r="B39">
        <v>126</v>
      </c>
    </row>
    <row r="40" spans="1:2" x14ac:dyDescent="0.25">
      <c r="A40" t="s">
        <v>671</v>
      </c>
      <c r="B40">
        <v>121</v>
      </c>
    </row>
    <row r="41" spans="1:2" x14ac:dyDescent="0.25">
      <c r="A41" t="s">
        <v>672</v>
      </c>
      <c r="B41">
        <v>122</v>
      </c>
    </row>
    <row r="42" spans="1:2" x14ac:dyDescent="0.25">
      <c r="A42" t="s">
        <v>673</v>
      </c>
      <c r="B42">
        <v>123</v>
      </c>
    </row>
    <row r="43" spans="1:2" x14ac:dyDescent="0.25">
      <c r="A43" t="s">
        <v>674</v>
      </c>
      <c r="B43">
        <v>124</v>
      </c>
    </row>
    <row r="44" spans="1:2" x14ac:dyDescent="0.25">
      <c r="A44" t="s">
        <v>675</v>
      </c>
      <c r="B44">
        <v>160</v>
      </c>
    </row>
    <row r="45" spans="1:2" x14ac:dyDescent="0.25">
      <c r="A45" t="s">
        <v>676</v>
      </c>
      <c r="B45">
        <v>132</v>
      </c>
    </row>
    <row r="46" spans="1:2" x14ac:dyDescent="0.25">
      <c r="A46" t="s">
        <v>677</v>
      </c>
      <c r="B46">
        <v>133</v>
      </c>
    </row>
    <row r="47" spans="1:2" x14ac:dyDescent="0.25">
      <c r="A47" t="s">
        <v>678</v>
      </c>
      <c r="B47">
        <v>128</v>
      </c>
    </row>
    <row r="48" spans="1:2" x14ac:dyDescent="0.25">
      <c r="A48" t="s">
        <v>679</v>
      </c>
      <c r="B48">
        <v>166</v>
      </c>
    </row>
    <row r="49" spans="1:2" x14ac:dyDescent="0.25">
      <c r="A49" t="s">
        <v>680</v>
      </c>
      <c r="B49">
        <v>137</v>
      </c>
    </row>
    <row r="50" spans="1:2" x14ac:dyDescent="0.25">
      <c r="A50" t="s">
        <v>681</v>
      </c>
      <c r="B50">
        <v>143</v>
      </c>
    </row>
    <row r="51" spans="1:2" x14ac:dyDescent="0.25">
      <c r="A51" t="s">
        <v>682</v>
      </c>
      <c r="B51">
        <v>125</v>
      </c>
    </row>
    <row r="52" spans="1:2" x14ac:dyDescent="0.25">
      <c r="A52" t="s">
        <v>683</v>
      </c>
      <c r="B52">
        <v>146</v>
      </c>
    </row>
    <row r="53" spans="1:2" x14ac:dyDescent="0.25">
      <c r="A53" t="s">
        <v>684</v>
      </c>
      <c r="B53">
        <v>169</v>
      </c>
    </row>
    <row r="54" spans="1:2" x14ac:dyDescent="0.25">
      <c r="A54" t="s">
        <v>685</v>
      </c>
      <c r="B54">
        <v>165</v>
      </c>
    </row>
    <row r="55" spans="1:2" x14ac:dyDescent="0.25">
      <c r="A55" t="s">
        <v>686</v>
      </c>
      <c r="B55">
        <v>139</v>
      </c>
    </row>
    <row r="56" spans="1:2" x14ac:dyDescent="0.25">
      <c r="A56" t="s">
        <v>687</v>
      </c>
      <c r="B56">
        <v>145</v>
      </c>
    </row>
    <row r="57" spans="1:2" x14ac:dyDescent="0.25">
      <c r="A57" t="s">
        <v>688</v>
      </c>
      <c r="B57">
        <v>168</v>
      </c>
    </row>
    <row r="58" spans="1:2" x14ac:dyDescent="0.25">
      <c r="A58" t="s">
        <v>689</v>
      </c>
      <c r="B58">
        <v>164</v>
      </c>
    </row>
    <row r="59" spans="1:2" x14ac:dyDescent="0.25">
      <c r="A59" t="s">
        <v>690</v>
      </c>
      <c r="B59">
        <v>107</v>
      </c>
    </row>
    <row r="60" spans="1:2" x14ac:dyDescent="0.25">
      <c r="A60" t="s">
        <v>691</v>
      </c>
      <c r="B60">
        <v>167</v>
      </c>
    </row>
    <row r="61" spans="1:2" x14ac:dyDescent="0.25">
      <c r="A61" t="s">
        <v>692</v>
      </c>
      <c r="B61">
        <v>110</v>
      </c>
    </row>
    <row r="62" spans="1:2" x14ac:dyDescent="0.25">
      <c r="A62" t="s">
        <v>693</v>
      </c>
      <c r="B62">
        <v>144</v>
      </c>
    </row>
    <row r="63" spans="1:2" x14ac:dyDescent="0.25">
      <c r="A63" t="s">
        <v>694</v>
      </c>
      <c r="B63">
        <v>136</v>
      </c>
    </row>
    <row r="64" spans="1:2" x14ac:dyDescent="0.25">
      <c r="A64" t="s">
        <v>695</v>
      </c>
      <c r="B64">
        <v>131</v>
      </c>
    </row>
    <row r="65" spans="1:2" x14ac:dyDescent="0.25">
      <c r="A65" t="s">
        <v>696</v>
      </c>
      <c r="B65">
        <v>148</v>
      </c>
    </row>
    <row r="66" spans="1:2" x14ac:dyDescent="0.25">
      <c r="A66" t="s">
        <v>697</v>
      </c>
      <c r="B66">
        <v>138</v>
      </c>
    </row>
    <row r="67" spans="1:2" x14ac:dyDescent="0.25">
      <c r="A67" t="s">
        <v>805</v>
      </c>
      <c r="B67">
        <v>183</v>
      </c>
    </row>
    <row r="68" spans="1:2" x14ac:dyDescent="0.25">
      <c r="A68" t="s">
        <v>698</v>
      </c>
      <c r="B68">
        <v>181</v>
      </c>
    </row>
    <row r="69" spans="1:2" x14ac:dyDescent="0.25">
      <c r="A69" t="s">
        <v>699</v>
      </c>
      <c r="B69">
        <v>800</v>
      </c>
    </row>
    <row r="70" spans="1:2" x14ac:dyDescent="0.25">
      <c r="A70" t="s">
        <v>700</v>
      </c>
      <c r="B70">
        <v>801</v>
      </c>
    </row>
    <row r="71" spans="1:2" x14ac:dyDescent="0.25">
      <c r="A71" t="s">
        <v>701</v>
      </c>
      <c r="B71">
        <v>802</v>
      </c>
    </row>
    <row r="72" spans="1:2" x14ac:dyDescent="0.25">
      <c r="A72" t="s">
        <v>702</v>
      </c>
      <c r="B72">
        <v>803</v>
      </c>
    </row>
    <row r="73" spans="1:2" x14ac:dyDescent="0.25">
      <c r="A73" t="s">
        <v>703</v>
      </c>
      <c r="B73">
        <v>804</v>
      </c>
    </row>
    <row r="74" spans="1:2" x14ac:dyDescent="0.25">
      <c r="A74" t="s">
        <v>704</v>
      </c>
      <c r="B74">
        <v>805</v>
      </c>
    </row>
    <row r="75" spans="1:2" x14ac:dyDescent="0.25">
      <c r="A75" t="s">
        <v>559</v>
      </c>
      <c r="B75" t="s">
        <v>560</v>
      </c>
    </row>
    <row r="76" spans="1:2" x14ac:dyDescent="0.25">
      <c r="A76" t="s">
        <v>705</v>
      </c>
      <c r="B76" t="s">
        <v>561</v>
      </c>
    </row>
    <row r="77" spans="1:2" x14ac:dyDescent="0.25">
      <c r="A77" t="s">
        <v>706</v>
      </c>
      <c r="B77" t="s">
        <v>562</v>
      </c>
    </row>
    <row r="78" spans="1:2" x14ac:dyDescent="0.25">
      <c r="A78" t="s">
        <v>707</v>
      </c>
      <c r="B78" t="s">
        <v>563</v>
      </c>
    </row>
    <row r="79" spans="1:2" x14ac:dyDescent="0.25">
      <c r="A79" t="s">
        <v>708</v>
      </c>
      <c r="B79" t="s">
        <v>564</v>
      </c>
    </row>
    <row r="80" spans="1:2" x14ac:dyDescent="0.25">
      <c r="A80" t="s">
        <v>709</v>
      </c>
      <c r="B80" t="s">
        <v>565</v>
      </c>
    </row>
    <row r="81" spans="1:2" x14ac:dyDescent="0.25">
      <c r="A81" t="s">
        <v>710</v>
      </c>
      <c r="B81" t="s">
        <v>566</v>
      </c>
    </row>
    <row r="82" spans="1:2" x14ac:dyDescent="0.25">
      <c r="A82" t="s">
        <v>711</v>
      </c>
      <c r="B82" t="s">
        <v>567</v>
      </c>
    </row>
    <row r="83" spans="1:2" x14ac:dyDescent="0.25">
      <c r="A83" t="s">
        <v>712</v>
      </c>
      <c r="B83" t="s">
        <v>568</v>
      </c>
    </row>
    <row r="84" spans="1:2" x14ac:dyDescent="0.25">
      <c r="A84" t="s">
        <v>713</v>
      </c>
      <c r="B84" t="s">
        <v>569</v>
      </c>
    </row>
    <row r="85" spans="1:2" x14ac:dyDescent="0.25">
      <c r="A85" t="s">
        <v>714</v>
      </c>
      <c r="B85" t="s">
        <v>570</v>
      </c>
    </row>
    <row r="86" spans="1:2" x14ac:dyDescent="0.25">
      <c r="A86" t="s">
        <v>715</v>
      </c>
      <c r="B86" t="s">
        <v>571</v>
      </c>
    </row>
    <row r="87" spans="1:2" x14ac:dyDescent="0.25">
      <c r="A87" t="s">
        <v>716</v>
      </c>
      <c r="B87" t="s">
        <v>572</v>
      </c>
    </row>
    <row r="88" spans="1:2" x14ac:dyDescent="0.25">
      <c r="A88" t="s">
        <v>717</v>
      </c>
      <c r="B88" t="s">
        <v>573</v>
      </c>
    </row>
    <row r="89" spans="1:2" x14ac:dyDescent="0.25">
      <c r="A89" t="s">
        <v>718</v>
      </c>
      <c r="B89" t="s">
        <v>574</v>
      </c>
    </row>
    <row r="90" spans="1:2" x14ac:dyDescent="0.25">
      <c r="A90" t="s">
        <v>719</v>
      </c>
      <c r="B90" t="s">
        <v>575</v>
      </c>
    </row>
    <row r="91" spans="1:2" x14ac:dyDescent="0.25">
      <c r="A91" t="s">
        <v>720</v>
      </c>
      <c r="B91" t="s">
        <v>576</v>
      </c>
    </row>
    <row r="92" spans="1:2" x14ac:dyDescent="0.25">
      <c r="A92" t="s">
        <v>721</v>
      </c>
      <c r="B92" t="s">
        <v>577</v>
      </c>
    </row>
    <row r="93" spans="1:2" x14ac:dyDescent="0.25">
      <c r="A93" t="s">
        <v>722</v>
      </c>
      <c r="B93" t="s">
        <v>578</v>
      </c>
    </row>
    <row r="94" spans="1:2" x14ac:dyDescent="0.25">
      <c r="A94" t="s">
        <v>723</v>
      </c>
      <c r="B94" t="s">
        <v>579</v>
      </c>
    </row>
    <row r="95" spans="1:2" x14ac:dyDescent="0.25">
      <c r="A95" t="s">
        <v>724</v>
      </c>
      <c r="B95" t="s">
        <v>580</v>
      </c>
    </row>
    <row r="96" spans="1:2" x14ac:dyDescent="0.25">
      <c r="A96" t="s">
        <v>725</v>
      </c>
      <c r="B96" t="s">
        <v>581</v>
      </c>
    </row>
    <row r="97" spans="1:2" x14ac:dyDescent="0.25">
      <c r="A97" t="s">
        <v>726</v>
      </c>
      <c r="B97" t="s">
        <v>582</v>
      </c>
    </row>
    <row r="98" spans="1:2" x14ac:dyDescent="0.25">
      <c r="A98" t="s">
        <v>727</v>
      </c>
      <c r="B98" t="s">
        <v>583</v>
      </c>
    </row>
    <row r="99" spans="1:2" x14ac:dyDescent="0.25">
      <c r="A99" t="s">
        <v>728</v>
      </c>
      <c r="B99" t="s">
        <v>584</v>
      </c>
    </row>
    <row r="100" spans="1:2" x14ac:dyDescent="0.25">
      <c r="A100" t="s">
        <v>729</v>
      </c>
      <c r="B100" t="s">
        <v>585</v>
      </c>
    </row>
    <row r="101" spans="1:2" x14ac:dyDescent="0.25">
      <c r="A101" t="s">
        <v>730</v>
      </c>
      <c r="B101" t="s">
        <v>586</v>
      </c>
    </row>
    <row r="102" spans="1:2" x14ac:dyDescent="0.25">
      <c r="A102" t="s">
        <v>731</v>
      </c>
      <c r="B102" t="s">
        <v>587</v>
      </c>
    </row>
    <row r="103" spans="1:2" x14ac:dyDescent="0.25">
      <c r="A103" t="s">
        <v>732</v>
      </c>
      <c r="B103" t="s">
        <v>588</v>
      </c>
    </row>
    <row r="104" spans="1:2" x14ac:dyDescent="0.25">
      <c r="A104" t="s">
        <v>733</v>
      </c>
      <c r="B104" t="s">
        <v>589</v>
      </c>
    </row>
    <row r="105" spans="1:2" x14ac:dyDescent="0.25">
      <c r="A105" t="s">
        <v>734</v>
      </c>
      <c r="B105" t="s">
        <v>590</v>
      </c>
    </row>
    <row r="106" spans="1:2" x14ac:dyDescent="0.25">
      <c r="A106" t="s">
        <v>735</v>
      </c>
      <c r="B106" t="s">
        <v>591</v>
      </c>
    </row>
    <row r="107" spans="1:2" x14ac:dyDescent="0.25">
      <c r="A107" t="s">
        <v>736</v>
      </c>
      <c r="B107" t="s">
        <v>592</v>
      </c>
    </row>
    <row r="108" spans="1:2" x14ac:dyDescent="0.25">
      <c r="A108" t="s">
        <v>737</v>
      </c>
      <c r="B108" t="s">
        <v>593</v>
      </c>
    </row>
    <row r="109" spans="1:2" x14ac:dyDescent="0.25">
      <c r="A109" t="s">
        <v>738</v>
      </c>
      <c r="B109" t="s">
        <v>594</v>
      </c>
    </row>
    <row r="110" spans="1:2" x14ac:dyDescent="0.25">
      <c r="A110" t="s">
        <v>739</v>
      </c>
      <c r="B110" t="s">
        <v>595</v>
      </c>
    </row>
    <row r="111" spans="1:2" x14ac:dyDescent="0.25">
      <c r="A111" t="s">
        <v>740</v>
      </c>
      <c r="B111" t="s">
        <v>596</v>
      </c>
    </row>
    <row r="112" spans="1:2" x14ac:dyDescent="0.25">
      <c r="A112" t="s">
        <v>741</v>
      </c>
      <c r="B112" t="s">
        <v>597</v>
      </c>
    </row>
    <row r="113" spans="1:2" x14ac:dyDescent="0.25">
      <c r="A113" t="s">
        <v>742</v>
      </c>
      <c r="B113" t="s">
        <v>598</v>
      </c>
    </row>
    <row r="114" spans="1:2" x14ac:dyDescent="0.25">
      <c r="A114" t="s">
        <v>743</v>
      </c>
      <c r="B114" t="s">
        <v>599</v>
      </c>
    </row>
    <row r="115" spans="1:2" x14ac:dyDescent="0.25">
      <c r="A115" t="s">
        <v>744</v>
      </c>
      <c r="B115" t="s">
        <v>600</v>
      </c>
    </row>
    <row r="116" spans="1:2" x14ac:dyDescent="0.25">
      <c r="A116" t="s">
        <v>745</v>
      </c>
      <c r="B116" t="s">
        <v>601</v>
      </c>
    </row>
    <row r="117" spans="1:2" x14ac:dyDescent="0.25">
      <c r="A117" t="s">
        <v>746</v>
      </c>
      <c r="B117" t="s">
        <v>602</v>
      </c>
    </row>
    <row r="118" spans="1:2" x14ac:dyDescent="0.25">
      <c r="A118" t="s">
        <v>747</v>
      </c>
      <c r="B118" t="s">
        <v>603</v>
      </c>
    </row>
    <row r="119" spans="1:2" x14ac:dyDescent="0.25">
      <c r="A119" t="s">
        <v>748</v>
      </c>
      <c r="B119" t="s">
        <v>604</v>
      </c>
    </row>
    <row r="120" spans="1:2" x14ac:dyDescent="0.25">
      <c r="A120" t="s">
        <v>749</v>
      </c>
      <c r="B120" t="s">
        <v>605</v>
      </c>
    </row>
    <row r="121" spans="1:2" x14ac:dyDescent="0.25">
      <c r="A121" t="s">
        <v>750</v>
      </c>
      <c r="B121" t="s">
        <v>606</v>
      </c>
    </row>
    <row r="122" spans="1:2" x14ac:dyDescent="0.25">
      <c r="A122" t="s">
        <v>751</v>
      </c>
      <c r="B122" t="s">
        <v>607</v>
      </c>
    </row>
    <row r="123" spans="1:2" x14ac:dyDescent="0.25">
      <c r="A123" t="s">
        <v>752</v>
      </c>
      <c r="B123" t="s">
        <v>608</v>
      </c>
    </row>
    <row r="124" spans="1:2" x14ac:dyDescent="0.25">
      <c r="A124" t="s">
        <v>753</v>
      </c>
      <c r="B124" t="s">
        <v>609</v>
      </c>
    </row>
    <row r="125" spans="1:2" x14ac:dyDescent="0.25">
      <c r="A125" t="s">
        <v>754</v>
      </c>
      <c r="B125" t="s">
        <v>610</v>
      </c>
    </row>
    <row r="126" spans="1:2" x14ac:dyDescent="0.25">
      <c r="A126" t="s">
        <v>755</v>
      </c>
      <c r="B126" t="s">
        <v>611</v>
      </c>
    </row>
    <row r="127" spans="1:2" x14ac:dyDescent="0.25">
      <c r="A127" t="s">
        <v>756</v>
      </c>
      <c r="B127" t="s">
        <v>612</v>
      </c>
    </row>
    <row r="128" spans="1:2" x14ac:dyDescent="0.25">
      <c r="A128" t="s">
        <v>757</v>
      </c>
      <c r="B128" t="s">
        <v>613</v>
      </c>
    </row>
    <row r="129" spans="1:2" x14ac:dyDescent="0.25">
      <c r="A129" t="s">
        <v>758</v>
      </c>
      <c r="B129" t="s">
        <v>614</v>
      </c>
    </row>
    <row r="130" spans="1:2" x14ac:dyDescent="0.25">
      <c r="A130" t="s">
        <v>759</v>
      </c>
      <c r="B130" t="s">
        <v>615</v>
      </c>
    </row>
    <row r="131" spans="1:2" x14ac:dyDescent="0.25">
      <c r="A131" t="s">
        <v>760</v>
      </c>
      <c r="B131" t="s">
        <v>616</v>
      </c>
    </row>
    <row r="132" spans="1:2" x14ac:dyDescent="0.25">
      <c r="A132" t="s">
        <v>761</v>
      </c>
      <c r="B132" t="s">
        <v>617</v>
      </c>
    </row>
    <row r="133" spans="1:2" x14ac:dyDescent="0.25">
      <c r="A133" t="s">
        <v>762</v>
      </c>
      <c r="B133" t="s">
        <v>618</v>
      </c>
    </row>
    <row r="134" spans="1:2" x14ac:dyDescent="0.25">
      <c r="A134" t="s">
        <v>763</v>
      </c>
      <c r="B134" t="s">
        <v>619</v>
      </c>
    </row>
    <row r="135" spans="1:2" x14ac:dyDescent="0.25">
      <c r="A135" t="s">
        <v>764</v>
      </c>
      <c r="B135" t="s">
        <v>620</v>
      </c>
    </row>
    <row r="136" spans="1:2" x14ac:dyDescent="0.25">
      <c r="A136" t="s">
        <v>765</v>
      </c>
      <c r="B136" t="s">
        <v>621</v>
      </c>
    </row>
    <row r="137" spans="1:2" x14ac:dyDescent="0.25">
      <c r="A137" t="s">
        <v>766</v>
      </c>
      <c r="B137" t="s">
        <v>622</v>
      </c>
    </row>
    <row r="138" spans="1:2" x14ac:dyDescent="0.25">
      <c r="A138" t="s">
        <v>767</v>
      </c>
      <c r="B138" t="s">
        <v>623</v>
      </c>
    </row>
    <row r="139" spans="1:2" x14ac:dyDescent="0.25">
      <c r="A139" t="s">
        <v>768</v>
      </c>
      <c r="B139" t="s">
        <v>624</v>
      </c>
    </row>
    <row r="140" spans="1:2" x14ac:dyDescent="0.25">
      <c r="A140" t="s">
        <v>769</v>
      </c>
      <c r="B140" t="s">
        <v>625</v>
      </c>
    </row>
    <row r="141" spans="1:2" x14ac:dyDescent="0.25">
      <c r="A141" t="s">
        <v>770</v>
      </c>
      <c r="B141" t="s">
        <v>626</v>
      </c>
    </row>
    <row r="142" spans="1:2" x14ac:dyDescent="0.25">
      <c r="A142" t="s">
        <v>771</v>
      </c>
      <c r="B142" t="s">
        <v>627</v>
      </c>
    </row>
    <row r="143" spans="1:2" x14ac:dyDescent="0.25">
      <c r="A143" t="s">
        <v>772</v>
      </c>
      <c r="B143" t="s">
        <v>628</v>
      </c>
    </row>
    <row r="144" spans="1:2" x14ac:dyDescent="0.25">
      <c r="A144" t="s">
        <v>773</v>
      </c>
      <c r="B144" t="s">
        <v>629</v>
      </c>
    </row>
    <row r="145" spans="1:2" x14ac:dyDescent="0.25">
      <c r="A145" t="s">
        <v>774</v>
      </c>
      <c r="B145" t="s">
        <v>630</v>
      </c>
    </row>
    <row r="146" spans="1:2" x14ac:dyDescent="0.25">
      <c r="A146" t="s">
        <v>775</v>
      </c>
      <c r="B146" t="s">
        <v>631</v>
      </c>
    </row>
    <row r="147" spans="1:2" x14ac:dyDescent="0.25">
      <c r="A147" t="s">
        <v>776</v>
      </c>
      <c r="B147" t="s">
        <v>632</v>
      </c>
    </row>
    <row r="148" spans="1:2" x14ac:dyDescent="0.25">
      <c r="A148" t="s">
        <v>777</v>
      </c>
      <c r="B148">
        <v>820</v>
      </c>
    </row>
    <row r="149" spans="1:2" x14ac:dyDescent="0.25">
      <c r="A149" t="s">
        <v>778</v>
      </c>
      <c r="B149">
        <v>828</v>
      </c>
    </row>
    <row r="150" spans="1:2" x14ac:dyDescent="0.25">
      <c r="A150" t="s">
        <v>779</v>
      </c>
      <c r="B150">
        <v>821</v>
      </c>
    </row>
    <row r="151" spans="1:2" x14ac:dyDescent="0.25">
      <c r="A151" t="s">
        <v>780</v>
      </c>
      <c r="B151">
        <v>822</v>
      </c>
    </row>
    <row r="152" spans="1:2" x14ac:dyDescent="0.25">
      <c r="A152" t="s">
        <v>781</v>
      </c>
      <c r="B152">
        <v>823</v>
      </c>
    </row>
    <row r="153" spans="1:2" x14ac:dyDescent="0.25">
      <c r="A153" t="s">
        <v>782</v>
      </c>
      <c r="B153">
        <v>824</v>
      </c>
    </row>
    <row r="154" spans="1:2" x14ac:dyDescent="0.25">
      <c r="A154" t="s">
        <v>783</v>
      </c>
      <c r="B154">
        <v>825</v>
      </c>
    </row>
    <row r="155" spans="1:2" x14ac:dyDescent="0.25">
      <c r="A155" t="s">
        <v>784</v>
      </c>
      <c r="B155">
        <v>826</v>
      </c>
    </row>
    <row r="156" spans="1:2" x14ac:dyDescent="0.25">
      <c r="A156" t="s">
        <v>785</v>
      </c>
      <c r="B156">
        <v>827</v>
      </c>
    </row>
    <row r="157" spans="1:2" x14ac:dyDescent="0.25">
      <c r="A157" t="s">
        <v>786</v>
      </c>
      <c r="B157">
        <v>860</v>
      </c>
    </row>
    <row r="158" spans="1:2" x14ac:dyDescent="0.25">
      <c r="A158" t="s">
        <v>787</v>
      </c>
      <c r="B158">
        <v>850</v>
      </c>
    </row>
    <row r="159" spans="1:2" x14ac:dyDescent="0.25">
      <c r="A159" t="s">
        <v>633</v>
      </c>
    </row>
    <row r="160" spans="1:2" x14ac:dyDescent="0.25">
      <c r="A160" t="s">
        <v>788</v>
      </c>
      <c r="B160">
        <v>300</v>
      </c>
    </row>
    <row r="161" spans="1:2" x14ac:dyDescent="0.25">
      <c r="A161" t="s">
        <v>789</v>
      </c>
      <c r="B161">
        <v>301</v>
      </c>
    </row>
    <row r="162" spans="1:2" x14ac:dyDescent="0.25">
      <c r="A162" t="s">
        <v>790</v>
      </c>
      <c r="B162">
        <v>321</v>
      </c>
    </row>
    <row r="163" spans="1:2" x14ac:dyDescent="0.25">
      <c r="A163" t="s">
        <v>791</v>
      </c>
      <c r="B163">
        <v>302</v>
      </c>
    </row>
    <row r="164" spans="1:2" x14ac:dyDescent="0.25">
      <c r="A164" t="s">
        <v>792</v>
      </c>
      <c r="B164">
        <v>306</v>
      </c>
    </row>
    <row r="165" spans="1:2" x14ac:dyDescent="0.25">
      <c r="A165" t="s">
        <v>793</v>
      </c>
      <c r="B165">
        <v>309</v>
      </c>
    </row>
    <row r="166" spans="1:2" x14ac:dyDescent="0.25">
      <c r="A166" t="s">
        <v>794</v>
      </c>
      <c r="B166">
        <v>310</v>
      </c>
    </row>
    <row r="167" spans="1:2" x14ac:dyDescent="0.25">
      <c r="A167" t="s">
        <v>795</v>
      </c>
      <c r="B167">
        <v>312</v>
      </c>
    </row>
    <row r="168" spans="1:2" x14ac:dyDescent="0.25">
      <c r="A168" t="s">
        <v>796</v>
      </c>
      <c r="B168">
        <v>313</v>
      </c>
    </row>
    <row r="169" spans="1:2" x14ac:dyDescent="0.25">
      <c r="A169" t="s">
        <v>797</v>
      </c>
      <c r="B169">
        <v>316</v>
      </c>
    </row>
    <row r="170" spans="1:2" x14ac:dyDescent="0.25">
      <c r="A170" t="s">
        <v>798</v>
      </c>
      <c r="B170">
        <v>851</v>
      </c>
    </row>
    <row r="171" spans="1:2" x14ac:dyDescent="0.25">
      <c r="A171" t="s">
        <v>799</v>
      </c>
      <c r="B171">
        <v>852</v>
      </c>
    </row>
    <row r="172" spans="1:2" x14ac:dyDescent="0.25">
      <c r="A172" t="s">
        <v>800</v>
      </c>
      <c r="B172">
        <v>853</v>
      </c>
    </row>
    <row r="173" spans="1:2" x14ac:dyDescent="0.25">
      <c r="A173" t="s">
        <v>801</v>
      </c>
      <c r="B173">
        <v>854</v>
      </c>
    </row>
    <row r="174" spans="1:2" x14ac:dyDescent="0.25">
      <c r="A174" t="s">
        <v>802</v>
      </c>
      <c r="B174">
        <v>855</v>
      </c>
    </row>
    <row r="175" spans="1:2" x14ac:dyDescent="0.25">
      <c r="A175" t="s">
        <v>803</v>
      </c>
      <c r="B175">
        <v>856</v>
      </c>
    </row>
    <row r="176" spans="1:2" x14ac:dyDescent="0.25">
      <c r="A176" t="s">
        <v>804</v>
      </c>
      <c r="B176">
        <v>857</v>
      </c>
    </row>
  </sheetData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FE7C25-CBFA-4DCE-87FA-B2264C0B3F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Тит.лист</vt:lpstr>
      <vt:lpstr>Отчет 1-Е Р.1</vt:lpstr>
      <vt:lpstr>Р.2</vt:lpstr>
      <vt:lpstr>Р.2!Область_печати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БЕЙШЕКЕЕВ ДАНИЯР</dc:creator>
  <cp:lastModifiedBy>Пользователь</cp:lastModifiedBy>
  <cp:lastPrinted>2025-12-10T07:56:24Z</cp:lastPrinted>
  <dcterms:created xsi:type="dcterms:W3CDTF">2021-08-08T11:38:21Z</dcterms:created>
  <dcterms:modified xsi:type="dcterms:W3CDTF">2026-01-06T10:08:26Z</dcterms:modified>
</cp:coreProperties>
</file>